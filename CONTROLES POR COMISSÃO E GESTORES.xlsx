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BACF4ADD-925C-4E92-B17B-B70203201806}" xr6:coauthVersionLast="47" xr6:coauthVersionMax="47" xr10:uidLastSave="{00000000-0000-0000-0000-000000000000}"/>
  <bookViews>
    <workbookView xWindow="-289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N62" i="1" a="1"/>
  <c r="N62" i="1" s="1"/>
  <c r="N63" i="1" a="1"/>
  <c r="N63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55" i="1" a="1"/>
  <c r="N55" i="1" s="1"/>
  <c r="J69" i="1" l="1"/>
  <c r="J68" i="1"/>
  <c r="J67" i="1"/>
  <c r="J66" i="1"/>
  <c r="J65" i="1"/>
  <c r="J64" i="1"/>
  <c r="J63" i="1"/>
  <c r="E65" i="1" l="1"/>
  <c r="N47" i="1"/>
  <c r="N48" i="1"/>
  <c r="N49" i="1"/>
  <c r="N50" i="1"/>
  <c r="N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<sst xmlns="http://schemas.openxmlformats.org/spreadsheetml/2006/main" count="603" uniqueCount="171">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</sst>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K70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44"/>
    <tableColumn id="6" xr3:uid="{28D500DA-BD33-447D-801C-1EDBD59B514A}" name="GESTOR SUPLENTE" dataDxfId="43" totalsRowDxfId="42"/>
    <tableColumn id="2" xr3:uid="{1BC929D7-C79E-4DD8-8692-AEFFFF4E2201}" name="FISCAL NOMEADO" dataDxfId="41" totalsRowDxfId="40"/>
    <tableColumn id="4" xr3:uid="{6DB822D5-3B20-4BEB-9FA9-33D9AE724FF4}" name="MUNICIPIO" dataDxfId="39" totalsRowDxfId="38"/>
    <tableColumn id="5" xr3:uid="{1DE280A2-C1B5-497D-B2A7-425CC71F3653}" name="EMPRESA" totalsRowFunction="count" dataDxfId="37" totalsRowDxfId="36"/>
    <tableColumn id="10" xr3:uid="{95ED015E-6AEE-4CBF-A570-2665B6975A98}" name="%EXEC" dataDxfId="35" totalsRowDxfId="34"/>
    <tableColumn id="11" xr3:uid="{1C47120A-915F-4E95-BA45-AF0C41018F09}" name="STATUS" dataDxfId="33" totalsRowDxfId="32"/>
    <tableColumn id="7" xr3:uid="{0C9C4230-87B4-46C7-8DFF-3C0A2F340B11}" name="FISCAL SUPLENTE" dataDxfId="31" totalsRowDxfId="30"/>
    <tableColumn id="8" xr3:uid="{4E783EA6-0DCE-4695-BBAF-E24638D55153}" name="ADM" dataDxfId="29" totalsRowDxfId="28"/>
    <tableColumn id="9" xr3:uid="{CE385090-95B6-4F49-A43B-E7EB63C58B59}" name="ADM SUPLENTE" dataDxfId="27" totalsRowDxfId="26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0" totalsRowCount="1" headerRowDxfId="25" dataDxfId="23" totalsRowDxfId="21" headerRowBorderDxfId="24" tableBorderDxfId="22" totalsRowBorderDxfId="20">
  <sortState xmlns:xlrd2="http://schemas.microsoft.com/office/spreadsheetml/2017/richdata2" ref="B35:F49">
    <sortCondition ref="B34:B49"/>
  </sortState>
  <tableColumns count="10">
    <tableColumn id="1" xr3:uid="{7C167C76-67AF-4A26-8B9A-BCE2A4995E2A}" name="GESTOR(A)_x000a_ATUANTE" totalsRowLabel="Total" dataDxfId="19" totalsRowDxfId="18"/>
    <tableColumn id="9" xr3:uid="{884CD221-7FDF-449F-BDDC-36A59A961922}" name="GESTOR SUPLENTE" dataDxfId="17" totalsRowDxfId="16"/>
    <tableColumn id="2" xr3:uid="{4BAEAB60-D8F3-4A1C-A2A7-1AF80D70ECFB}" name="FISCAL NOMEADO" dataDxfId="15" totalsRowDxfId="14"/>
    <tableColumn id="4" xr3:uid="{92B91F80-B146-424A-9B8F-B3A204D6D240}" name="MUNICIPIO" dataDxfId="13" totalsRowDxfId="12"/>
    <tableColumn id="5" xr3:uid="{536E627B-103D-43E3-ADF4-5534C1B8AC84}" name="EMPRESA" totalsRowFunction="count" dataDxfId="11" totalsRowDxfId="10"/>
    <tableColumn id="10" xr3:uid="{6244ECFF-D04A-4C9E-9BB6-3E00642A9BA0}" name="%EXEC" dataDxfId="9" totalsRowDxfId="8"/>
    <tableColumn id="11" xr3:uid="{E519A9AE-567A-406C-B69A-B1B53C257A70}" name="STATUS" dataDxfId="7" totalsRowDxfId="6"/>
    <tableColumn id="6" xr3:uid="{682B89AE-0AB9-4B7F-8C3B-66D341320532}" name="FISCAL SUPLENTE" dataDxfId="5" totalsRowDxfId="4"/>
    <tableColumn id="7" xr3:uid="{B76C21C5-382B-4784-B00B-25BF832EBF82}" name="ADM" dataDxfId="3" totalsRowDxfId="2"/>
    <tableColumn id="8" xr3:uid="{E184221B-D39C-481A-9EF0-7BBC0BDCFFB3}" name="ADM SUPLENT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7"/>
  <sheetViews>
    <sheetView showGridLines="0" tabSelected="1" zoomScaleNormal="100" zoomScaleSheetLayoutView="96" workbookViewId="0">
      <selection activeCell="I35" sqref="I35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30" bestFit="1" customWidth="1"/>
    <col min="15" max="15" width="23.140625" style="30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44" t="s">
        <v>48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32"/>
    </row>
    <row r="2" spans="1:14" x14ac:dyDescent="0.25">
      <c r="A2" s="18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160</v>
      </c>
      <c r="H2" s="2" t="s">
        <v>161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38" t="s">
        <v>4</v>
      </c>
      <c r="B3" s="5" t="s">
        <v>1</v>
      </c>
      <c r="C3" s="6" t="s">
        <v>140</v>
      </c>
      <c r="D3" s="24" t="s">
        <v>146</v>
      </c>
      <c r="E3" s="6" t="s">
        <v>25</v>
      </c>
      <c r="F3" s="6" t="s">
        <v>26</v>
      </c>
      <c r="G3" s="27">
        <v>0.25580000000000003</v>
      </c>
      <c r="H3" s="6" t="s">
        <v>162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39" t="s">
        <v>5</v>
      </c>
      <c r="B4" s="5" t="s">
        <v>1</v>
      </c>
      <c r="C4" s="6" t="s">
        <v>140</v>
      </c>
      <c r="D4" s="24" t="s">
        <v>146</v>
      </c>
      <c r="E4" s="6" t="s">
        <v>27</v>
      </c>
      <c r="F4" s="6" t="s">
        <v>165</v>
      </c>
      <c r="G4" s="27">
        <v>0</v>
      </c>
      <c r="H4" s="6" t="s">
        <v>162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38" t="s">
        <v>6</v>
      </c>
      <c r="B5" s="5" t="s">
        <v>1</v>
      </c>
      <c r="C5" s="6" t="s">
        <v>140</v>
      </c>
      <c r="D5" s="24" t="s">
        <v>149</v>
      </c>
      <c r="E5" s="6" t="s">
        <v>28</v>
      </c>
      <c r="F5" s="6" t="s">
        <v>29</v>
      </c>
      <c r="G5" s="27">
        <v>0.99670000000000003</v>
      </c>
      <c r="H5" s="6" t="s">
        <v>163</v>
      </c>
      <c r="I5" s="6" t="s">
        <v>145</v>
      </c>
      <c r="J5" s="6" t="s">
        <v>144</v>
      </c>
      <c r="K5" s="7" t="s">
        <v>135</v>
      </c>
    </row>
    <row r="6" spans="1:14" x14ac:dyDescent="0.25">
      <c r="A6" s="39" t="s">
        <v>7</v>
      </c>
      <c r="B6" s="5" t="s">
        <v>1</v>
      </c>
      <c r="C6" s="6" t="s">
        <v>140</v>
      </c>
      <c r="D6" s="24" t="s">
        <v>146</v>
      </c>
      <c r="E6" s="6" t="s">
        <v>25</v>
      </c>
      <c r="F6" s="6" t="s">
        <v>30</v>
      </c>
      <c r="G6" s="27">
        <v>0.97860000000000003</v>
      </c>
      <c r="H6" s="6" t="s">
        <v>162</v>
      </c>
      <c r="I6" s="6" t="s">
        <v>151</v>
      </c>
      <c r="J6" s="6" t="s">
        <v>144</v>
      </c>
      <c r="K6" s="7" t="s">
        <v>135</v>
      </c>
      <c r="M6"/>
      <c r="N6" s="31"/>
    </row>
    <row r="7" spans="1:14" x14ac:dyDescent="0.25">
      <c r="A7" s="38" t="s">
        <v>8</v>
      </c>
      <c r="B7" s="5" t="s">
        <v>1</v>
      </c>
      <c r="C7" s="6" t="s">
        <v>140</v>
      </c>
      <c r="D7" s="24" t="s">
        <v>149</v>
      </c>
      <c r="E7" s="6" t="s">
        <v>31</v>
      </c>
      <c r="F7" s="6" t="s">
        <v>30</v>
      </c>
      <c r="G7" s="27">
        <v>1.6500000000000001E-2</v>
      </c>
      <c r="H7" s="6" t="s">
        <v>162</v>
      </c>
      <c r="I7" s="6" t="s">
        <v>145</v>
      </c>
      <c r="J7" s="6" t="s">
        <v>144</v>
      </c>
      <c r="K7" s="7" t="s">
        <v>135</v>
      </c>
      <c r="M7"/>
      <c r="N7" s="31"/>
    </row>
    <row r="8" spans="1:14" x14ac:dyDescent="0.25">
      <c r="A8" s="39" t="s">
        <v>9</v>
      </c>
      <c r="B8" s="5" t="s">
        <v>1</v>
      </c>
      <c r="C8" s="6" t="s">
        <v>140</v>
      </c>
      <c r="D8" s="24" t="s">
        <v>146</v>
      </c>
      <c r="E8" s="6" t="s">
        <v>25</v>
      </c>
      <c r="F8" s="6" t="s">
        <v>32</v>
      </c>
      <c r="G8" s="27">
        <v>0.38669999999999999</v>
      </c>
      <c r="H8" s="6" t="s">
        <v>162</v>
      </c>
      <c r="I8" s="6" t="s">
        <v>151</v>
      </c>
      <c r="J8" s="6" t="s">
        <v>144</v>
      </c>
      <c r="K8" s="7" t="s">
        <v>135</v>
      </c>
      <c r="M8"/>
      <c r="N8" s="31"/>
    </row>
    <row r="9" spans="1:14" ht="13.5" x14ac:dyDescent="0.25">
      <c r="A9" s="38" t="s">
        <v>10</v>
      </c>
      <c r="B9" s="5" t="s">
        <v>1</v>
      </c>
      <c r="C9" s="6" t="s">
        <v>140</v>
      </c>
      <c r="D9" s="24" t="s">
        <v>152</v>
      </c>
      <c r="E9" s="6" t="s">
        <v>25</v>
      </c>
      <c r="F9" s="6" t="s">
        <v>32</v>
      </c>
      <c r="G9" s="27">
        <v>0.9899</v>
      </c>
      <c r="H9" s="6" t="s">
        <v>162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39" t="s">
        <v>11</v>
      </c>
      <c r="B10" s="5" t="s">
        <v>1</v>
      </c>
      <c r="C10" s="6" t="s">
        <v>140</v>
      </c>
      <c r="D10" s="24" t="s">
        <v>146</v>
      </c>
      <c r="E10" s="6" t="s">
        <v>25</v>
      </c>
      <c r="F10" s="6" t="s">
        <v>33</v>
      </c>
      <c r="G10" s="27">
        <v>3.7699999999999997E-2</v>
      </c>
      <c r="H10" s="6" t="s">
        <v>162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38" t="s">
        <v>12</v>
      </c>
      <c r="B11" s="5" t="s">
        <v>1</v>
      </c>
      <c r="C11" s="6" t="s">
        <v>140</v>
      </c>
      <c r="D11" s="24" t="s">
        <v>149</v>
      </c>
      <c r="E11" s="6" t="s">
        <v>34</v>
      </c>
      <c r="F11" s="6" t="s">
        <v>35</v>
      </c>
      <c r="G11" s="27">
        <v>0.88560000000000005</v>
      </c>
      <c r="H11" s="6" t="s">
        <v>162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39" t="s">
        <v>13</v>
      </c>
      <c r="B12" s="5" t="s">
        <v>1</v>
      </c>
      <c r="C12" s="6" t="s">
        <v>140</v>
      </c>
      <c r="D12" s="24" t="s">
        <v>146</v>
      </c>
      <c r="E12" s="6" t="s">
        <v>25</v>
      </c>
      <c r="F12" s="6" t="s">
        <v>36</v>
      </c>
      <c r="G12" s="27">
        <v>0.53190000000000004</v>
      </c>
      <c r="H12" s="6" t="s">
        <v>162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38" t="s">
        <v>14</v>
      </c>
      <c r="B13" s="5" t="s">
        <v>1</v>
      </c>
      <c r="C13" s="6" t="s">
        <v>140</v>
      </c>
      <c r="D13" s="24" t="s">
        <v>146</v>
      </c>
      <c r="E13" s="6" t="s">
        <v>37</v>
      </c>
      <c r="F13" s="6" t="s">
        <v>125</v>
      </c>
      <c r="G13" s="27">
        <v>0.1074</v>
      </c>
      <c r="H13" s="6" t="s">
        <v>162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39" t="s">
        <v>110</v>
      </c>
      <c r="B14" s="5" t="s">
        <v>1</v>
      </c>
      <c r="C14" s="6" t="s">
        <v>140</v>
      </c>
      <c r="D14" s="24" t="s">
        <v>149</v>
      </c>
      <c r="E14" s="6" t="s">
        <v>109</v>
      </c>
      <c r="F14" s="6" t="s">
        <v>138</v>
      </c>
      <c r="G14" s="27">
        <v>0.54500000000000004</v>
      </c>
      <c r="H14" s="6" t="s">
        <v>162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38" t="s">
        <v>96</v>
      </c>
      <c r="B15" s="5" t="s">
        <v>1</v>
      </c>
      <c r="C15" s="6" t="s">
        <v>140</v>
      </c>
      <c r="D15" s="24" t="s">
        <v>149</v>
      </c>
      <c r="E15" s="6" t="s">
        <v>37</v>
      </c>
      <c r="F15" s="6" t="s">
        <v>101</v>
      </c>
      <c r="G15" s="27">
        <v>0.64100000000000001</v>
      </c>
      <c r="H15" s="6" t="s">
        <v>164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39" t="s">
        <v>97</v>
      </c>
      <c r="B16" s="5" t="s">
        <v>140</v>
      </c>
      <c r="C16" s="6" t="s">
        <v>1</v>
      </c>
      <c r="D16" s="24" t="s">
        <v>147</v>
      </c>
      <c r="E16" s="6" t="s">
        <v>39</v>
      </c>
      <c r="F16" s="6" t="s">
        <v>102</v>
      </c>
      <c r="G16" s="27">
        <v>0.71809999999999996</v>
      </c>
      <c r="H16" s="6" t="s">
        <v>162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38" t="s">
        <v>98</v>
      </c>
      <c r="B17" s="5" t="s">
        <v>140</v>
      </c>
      <c r="C17" s="6" t="s">
        <v>1</v>
      </c>
      <c r="D17" s="24" t="s">
        <v>147</v>
      </c>
      <c r="E17" s="6" t="s">
        <v>103</v>
      </c>
      <c r="F17" s="6" t="s">
        <v>104</v>
      </c>
      <c r="G17" s="27">
        <v>0.62</v>
      </c>
      <c r="H17" s="6" t="s">
        <v>162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39" t="s">
        <v>99</v>
      </c>
      <c r="B18" s="5" t="s">
        <v>140</v>
      </c>
      <c r="C18" s="6" t="s">
        <v>1</v>
      </c>
      <c r="D18" s="24" t="s">
        <v>147</v>
      </c>
      <c r="E18" s="6" t="s">
        <v>39</v>
      </c>
      <c r="F18" s="6" t="s">
        <v>105</v>
      </c>
      <c r="G18" s="27">
        <v>0.2321</v>
      </c>
      <c r="H18" s="6" t="s">
        <v>162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38" t="s">
        <v>15</v>
      </c>
      <c r="B19" s="5" t="s">
        <v>140</v>
      </c>
      <c r="C19" s="6" t="s">
        <v>1</v>
      </c>
      <c r="D19" s="24" t="s">
        <v>150</v>
      </c>
      <c r="E19" s="6" t="s">
        <v>27</v>
      </c>
      <c r="F19" s="6" t="s">
        <v>30</v>
      </c>
      <c r="G19" s="27">
        <v>1</v>
      </c>
      <c r="H19" s="6" t="s">
        <v>163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39" t="s">
        <v>17</v>
      </c>
      <c r="B20" s="5" t="s">
        <v>140</v>
      </c>
      <c r="C20" s="6" t="s">
        <v>1</v>
      </c>
      <c r="D20" s="24" t="s">
        <v>147</v>
      </c>
      <c r="E20" s="6" t="s">
        <v>39</v>
      </c>
      <c r="F20" s="6" t="s">
        <v>40</v>
      </c>
      <c r="G20" s="27">
        <v>0</v>
      </c>
      <c r="H20" s="6" t="s">
        <v>162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38" t="s">
        <v>18</v>
      </c>
      <c r="B21" s="5" t="s">
        <v>140</v>
      </c>
      <c r="C21" s="6" t="s">
        <v>1</v>
      </c>
      <c r="D21" s="24" t="s">
        <v>150</v>
      </c>
      <c r="E21" s="6" t="s">
        <v>28</v>
      </c>
      <c r="F21" s="6" t="s">
        <v>41</v>
      </c>
      <c r="G21" s="27">
        <v>0.78049999999999997</v>
      </c>
      <c r="H21" s="6" t="s">
        <v>162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39" t="s">
        <v>121</v>
      </c>
      <c r="B22" s="5" t="s">
        <v>140</v>
      </c>
      <c r="C22" s="6" t="s">
        <v>1</v>
      </c>
      <c r="D22" s="24" t="s">
        <v>147</v>
      </c>
      <c r="E22" s="6" t="s">
        <v>103</v>
      </c>
      <c r="F22" s="6" t="s">
        <v>122</v>
      </c>
      <c r="G22" s="26">
        <v>0.5</v>
      </c>
      <c r="H22" s="6" t="s">
        <v>162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38" t="s">
        <v>118</v>
      </c>
      <c r="B23" s="5" t="s">
        <v>140</v>
      </c>
      <c r="C23" s="6" t="s">
        <v>1</v>
      </c>
      <c r="D23" s="24" t="s">
        <v>149</v>
      </c>
      <c r="E23" s="6" t="s">
        <v>43</v>
      </c>
      <c r="F23" s="6" t="s">
        <v>117</v>
      </c>
      <c r="G23" s="27">
        <v>1</v>
      </c>
      <c r="H23" s="6" t="s">
        <v>163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39" t="s">
        <v>19</v>
      </c>
      <c r="B24" s="5" t="s">
        <v>140</v>
      </c>
      <c r="C24" s="6" t="s">
        <v>1</v>
      </c>
      <c r="D24" s="24" t="s">
        <v>150</v>
      </c>
      <c r="E24" s="6" t="s">
        <v>28</v>
      </c>
      <c r="F24" s="6" t="s">
        <v>42</v>
      </c>
      <c r="G24" s="27">
        <v>0.7903</v>
      </c>
      <c r="H24" s="6" t="s">
        <v>162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38" t="s">
        <v>20</v>
      </c>
      <c r="B25" s="5" t="s">
        <v>140</v>
      </c>
      <c r="C25" s="6" t="s">
        <v>1</v>
      </c>
      <c r="D25" s="24" t="s">
        <v>149</v>
      </c>
      <c r="E25" s="6" t="s">
        <v>43</v>
      </c>
      <c r="F25" s="6" t="s">
        <v>44</v>
      </c>
      <c r="G25" s="27">
        <v>0.78090000000000004</v>
      </c>
      <c r="H25" s="6" t="s">
        <v>162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39" t="s">
        <v>111</v>
      </c>
      <c r="B26" s="5" t="s">
        <v>140</v>
      </c>
      <c r="C26" s="6" t="s">
        <v>1</v>
      </c>
      <c r="D26" s="24" t="s">
        <v>150</v>
      </c>
      <c r="E26" s="6" t="s">
        <v>109</v>
      </c>
      <c r="F26" s="6" t="s">
        <v>30</v>
      </c>
      <c r="G26" s="27">
        <v>0.66039999999999999</v>
      </c>
      <c r="H26" s="6" t="s">
        <v>162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38" t="s">
        <v>21</v>
      </c>
      <c r="B27" s="5" t="s">
        <v>140</v>
      </c>
      <c r="C27" s="6" t="s">
        <v>1</v>
      </c>
      <c r="D27" s="24" t="s">
        <v>150</v>
      </c>
      <c r="E27" s="6" t="s">
        <v>45</v>
      </c>
      <c r="F27" s="6" t="s">
        <v>46</v>
      </c>
      <c r="G27" s="27">
        <v>0.86519999999999997</v>
      </c>
      <c r="H27" s="6" t="s">
        <v>164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39" t="s">
        <v>22</v>
      </c>
      <c r="B28" s="5" t="s">
        <v>140</v>
      </c>
      <c r="C28" s="6" t="s">
        <v>1</v>
      </c>
      <c r="D28" s="24" t="s">
        <v>150</v>
      </c>
      <c r="E28" s="6" t="s">
        <v>28</v>
      </c>
      <c r="F28" s="6" t="s">
        <v>47</v>
      </c>
      <c r="G28" s="27">
        <v>0.69730000000000003</v>
      </c>
      <c r="H28" s="6" t="s">
        <v>162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31"/>
      <c r="O29" s="31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19"/>
      <c r="H32"/>
      <c r="I32"/>
      <c r="J32"/>
      <c r="K32"/>
      <c r="L32"/>
      <c r="M32"/>
    </row>
    <row r="33" spans="1:14" ht="24" x14ac:dyDescent="0.25">
      <c r="A33" s="44" t="s">
        <v>72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33"/>
      <c r="M33"/>
    </row>
    <row r="34" spans="1:14" x14ac:dyDescent="0.25">
      <c r="A34" s="18" t="s">
        <v>3</v>
      </c>
      <c r="B34" s="18" t="s">
        <v>0</v>
      </c>
      <c r="C34" s="18" t="s">
        <v>131</v>
      </c>
      <c r="D34" s="18" t="s">
        <v>2</v>
      </c>
      <c r="E34" s="18" t="s">
        <v>23</v>
      </c>
      <c r="F34" s="18" t="s">
        <v>24</v>
      </c>
      <c r="G34" s="18" t="s">
        <v>160</v>
      </c>
      <c r="H34" s="18" t="s">
        <v>161</v>
      </c>
      <c r="I34" s="18" t="s">
        <v>132</v>
      </c>
      <c r="J34" s="18" t="s">
        <v>133</v>
      </c>
      <c r="K34" s="18" t="s">
        <v>134</v>
      </c>
      <c r="L34"/>
    </row>
    <row r="35" spans="1:14" ht="13.5" x14ac:dyDescent="0.25">
      <c r="A35" s="38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27">
        <v>1</v>
      </c>
      <c r="H35" s="6" t="s">
        <v>163</v>
      </c>
      <c r="I35" s="6" t="s">
        <v>145</v>
      </c>
      <c r="J35" s="6" t="s">
        <v>135</v>
      </c>
      <c r="K35" s="6" t="s">
        <v>144</v>
      </c>
    </row>
    <row r="36" spans="1:14" ht="13.5" x14ac:dyDescent="0.25">
      <c r="A36" s="39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27">
        <v>0.5746</v>
      </c>
      <c r="H36" s="6" t="s">
        <v>162</v>
      </c>
      <c r="I36" s="6" t="s">
        <v>145</v>
      </c>
      <c r="J36" s="6" t="s">
        <v>135</v>
      </c>
      <c r="K36" s="6" t="s">
        <v>144</v>
      </c>
    </row>
    <row r="37" spans="1:14" ht="13.5" x14ac:dyDescent="0.25">
      <c r="A37" s="38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27">
        <v>0.84570000000000001</v>
      </c>
      <c r="H37" s="6" t="s">
        <v>162</v>
      </c>
      <c r="I37" s="6" t="s">
        <v>145</v>
      </c>
      <c r="J37" s="6" t="s">
        <v>135</v>
      </c>
      <c r="K37" s="6" t="s">
        <v>144</v>
      </c>
    </row>
    <row r="38" spans="1:14" ht="13.5" x14ac:dyDescent="0.25">
      <c r="A38" s="39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27">
        <v>0.99929999999999997</v>
      </c>
      <c r="H38" s="6" t="s">
        <v>163</v>
      </c>
      <c r="I38" s="6" t="s">
        <v>145</v>
      </c>
      <c r="J38" s="6" t="s">
        <v>135</v>
      </c>
      <c r="K38" s="6" t="s">
        <v>144</v>
      </c>
    </row>
    <row r="39" spans="1:14" ht="13.5" x14ac:dyDescent="0.25">
      <c r="A39" s="38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27">
        <v>0.79930000000000001</v>
      </c>
      <c r="H39" s="6" t="s">
        <v>162</v>
      </c>
      <c r="I39" s="6" t="s">
        <v>145</v>
      </c>
      <c r="J39" s="6" t="s">
        <v>135</v>
      </c>
      <c r="K39" s="6" t="s">
        <v>144</v>
      </c>
    </row>
    <row r="40" spans="1:14" ht="13.5" x14ac:dyDescent="0.25">
      <c r="A40" s="39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27">
        <v>0.30669999999999997</v>
      </c>
      <c r="H40" s="6" t="s">
        <v>162</v>
      </c>
      <c r="I40" s="6" t="s">
        <v>145</v>
      </c>
      <c r="J40" s="6" t="s">
        <v>135</v>
      </c>
      <c r="K40" s="6" t="s">
        <v>144</v>
      </c>
    </row>
    <row r="41" spans="1:14" ht="13.5" x14ac:dyDescent="0.25">
      <c r="A41" s="38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27">
        <v>0.96009999999999995</v>
      </c>
      <c r="H41" s="6" t="s">
        <v>162</v>
      </c>
      <c r="I41" s="6" t="s">
        <v>145</v>
      </c>
      <c r="J41" s="6" t="s">
        <v>135</v>
      </c>
      <c r="K41" s="6" t="s">
        <v>144</v>
      </c>
    </row>
    <row r="42" spans="1:14" ht="13.5" x14ac:dyDescent="0.25">
      <c r="A42" s="39" t="s">
        <v>115</v>
      </c>
      <c r="B42" s="6" t="s">
        <v>73</v>
      </c>
      <c r="C42" s="6" t="s">
        <v>1</v>
      </c>
      <c r="D42" s="6" t="s">
        <v>156</v>
      </c>
      <c r="E42" s="6" t="s">
        <v>85</v>
      </c>
      <c r="F42" s="6" t="s">
        <v>116</v>
      </c>
      <c r="G42" s="27">
        <v>1.5408999999999999</v>
      </c>
      <c r="H42" s="6" t="s">
        <v>163</v>
      </c>
      <c r="I42" s="6" t="s">
        <v>145</v>
      </c>
      <c r="J42" s="6" t="s">
        <v>135</v>
      </c>
      <c r="K42" s="6" t="s">
        <v>144</v>
      </c>
    </row>
    <row r="43" spans="1:14" ht="13.5" x14ac:dyDescent="0.25">
      <c r="A43" s="38" t="s">
        <v>80</v>
      </c>
      <c r="B43" s="6" t="s">
        <v>73</v>
      </c>
      <c r="C43" s="6" t="s">
        <v>1</v>
      </c>
      <c r="D43" s="6" t="s">
        <v>156</v>
      </c>
      <c r="E43" s="6" t="s">
        <v>87</v>
      </c>
      <c r="F43" s="6" t="s">
        <v>90</v>
      </c>
      <c r="G43" s="27">
        <v>0.78459999999999996</v>
      </c>
      <c r="H43" s="6" t="s">
        <v>162</v>
      </c>
      <c r="I43" s="6" t="s">
        <v>145</v>
      </c>
      <c r="J43" s="6" t="s">
        <v>135</v>
      </c>
      <c r="K43" s="6" t="s">
        <v>144</v>
      </c>
    </row>
    <row r="44" spans="1:14" ht="13.5" x14ac:dyDescent="0.25">
      <c r="A44" s="39" t="s">
        <v>113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114</v>
      </c>
      <c r="G44" s="27">
        <v>1</v>
      </c>
      <c r="H44" s="6" t="s">
        <v>163</v>
      </c>
      <c r="I44" s="6" t="s">
        <v>145</v>
      </c>
      <c r="J44" s="6" t="s">
        <v>135</v>
      </c>
      <c r="K44" s="6" t="s">
        <v>144</v>
      </c>
    </row>
    <row r="45" spans="1:14" ht="13.5" x14ac:dyDescent="0.25">
      <c r="A45" s="38" t="s">
        <v>81</v>
      </c>
      <c r="B45" s="6" t="s">
        <v>73</v>
      </c>
      <c r="C45" s="6" t="s">
        <v>1</v>
      </c>
      <c r="D45" s="6" t="s">
        <v>156</v>
      </c>
      <c r="E45" s="6" t="s">
        <v>91</v>
      </c>
      <c r="F45" s="6" t="s">
        <v>139</v>
      </c>
      <c r="G45" s="27">
        <v>0.89959999999999996</v>
      </c>
      <c r="H45" s="6" t="s">
        <v>162</v>
      </c>
      <c r="I45" s="6" t="s">
        <v>145</v>
      </c>
      <c r="J45" s="6" t="s">
        <v>135</v>
      </c>
      <c r="K45" s="6" t="s">
        <v>144</v>
      </c>
      <c r="M45" s="46" t="s">
        <v>166</v>
      </c>
      <c r="N45" s="46"/>
    </row>
    <row r="46" spans="1:14" ht="13.5" x14ac:dyDescent="0.25">
      <c r="A46" s="39" t="s">
        <v>82</v>
      </c>
      <c r="B46" s="6" t="s">
        <v>73</v>
      </c>
      <c r="C46" s="6" t="s">
        <v>1</v>
      </c>
      <c r="D46" s="6" t="s">
        <v>156</v>
      </c>
      <c r="E46" s="6" t="s">
        <v>85</v>
      </c>
      <c r="F46" s="6" t="s">
        <v>36</v>
      </c>
      <c r="G46" s="27">
        <v>0.97130000000000005</v>
      </c>
      <c r="H46" s="6" t="s">
        <v>162</v>
      </c>
      <c r="I46" s="6" t="s">
        <v>145</v>
      </c>
      <c r="J46" s="6" t="s">
        <v>135</v>
      </c>
      <c r="K46" s="6" t="s">
        <v>144</v>
      </c>
      <c r="M46" s="21" t="s">
        <v>1</v>
      </c>
      <c r="N46" s="34">
        <f>COUNTIF(Tabela1[GESTOR(A)
ATUANTE],M46)+COUNTIF(Tabela2[GESTOR(A)
ATUANTE],M46)+COUNTIF(Tabela3[GESTOR(A)
ATUANTE],M46)</f>
        <v>14</v>
      </c>
    </row>
    <row r="47" spans="1:14" ht="13.5" x14ac:dyDescent="0.25">
      <c r="A47" s="38" t="s">
        <v>130</v>
      </c>
      <c r="B47" s="6" t="s">
        <v>73</v>
      </c>
      <c r="C47" s="6" t="s">
        <v>1</v>
      </c>
      <c r="D47" s="6" t="s">
        <v>156</v>
      </c>
      <c r="E47" s="6" t="s">
        <v>119</v>
      </c>
      <c r="F47" s="6" t="s">
        <v>120</v>
      </c>
      <c r="G47" s="27">
        <v>0.80789999999999995</v>
      </c>
      <c r="H47" s="6" t="s">
        <v>163</v>
      </c>
      <c r="I47" s="6" t="s">
        <v>145</v>
      </c>
      <c r="J47" s="6" t="s">
        <v>135</v>
      </c>
      <c r="K47" s="6" t="s">
        <v>144</v>
      </c>
      <c r="M47" s="21" t="s">
        <v>140</v>
      </c>
      <c r="N47" s="34">
        <f>COUNTIF(Tabela1[GESTOR(A)
ATUANTE],M47)+COUNTIF(Tabela2[GESTOR(A)
ATUANTE],M47)+COUNTIF(Tabela3[GESTOR(A)
ATUANTE],M47)</f>
        <v>14</v>
      </c>
    </row>
    <row r="48" spans="1:14" ht="13.5" x14ac:dyDescent="0.25">
      <c r="A48" s="39" t="s">
        <v>83</v>
      </c>
      <c r="B48" s="6" t="s">
        <v>73</v>
      </c>
      <c r="C48" s="6" t="s">
        <v>1</v>
      </c>
      <c r="D48" s="6" t="s">
        <v>156</v>
      </c>
      <c r="E48" s="6" t="s">
        <v>92</v>
      </c>
      <c r="F48" s="6" t="s">
        <v>93</v>
      </c>
      <c r="G48" s="27">
        <v>0.60799999999999998</v>
      </c>
      <c r="H48" s="6" t="s">
        <v>164</v>
      </c>
      <c r="I48" s="6" t="s">
        <v>145</v>
      </c>
      <c r="J48" s="6" t="s">
        <v>135</v>
      </c>
      <c r="K48" s="6" t="s">
        <v>144</v>
      </c>
      <c r="M48" s="21" t="s">
        <v>142</v>
      </c>
      <c r="N48" s="34">
        <f>COUNTIF(Tabela1[GESTOR(A)
ATUANTE],M48)+COUNTIF(Tabela2[GESTOR(A)
ATUANTE],M48)+COUNTIF(Tabela3[GESTOR(A)
ATUANTE],M48)</f>
        <v>7</v>
      </c>
    </row>
    <row r="49" spans="1:15" ht="13.5" x14ac:dyDescent="0.25">
      <c r="A49" s="38" t="s">
        <v>84</v>
      </c>
      <c r="B49" s="6" t="s">
        <v>73</v>
      </c>
      <c r="C49" s="6" t="s">
        <v>1</v>
      </c>
      <c r="D49" s="6" t="s">
        <v>156</v>
      </c>
      <c r="E49" s="6" t="s">
        <v>94</v>
      </c>
      <c r="F49" s="6" t="s">
        <v>95</v>
      </c>
      <c r="G49" s="27">
        <v>0.14130000000000001</v>
      </c>
      <c r="H49" s="6" t="s">
        <v>162</v>
      </c>
      <c r="I49" s="6" t="s">
        <v>145</v>
      </c>
      <c r="J49" s="6" t="s">
        <v>135</v>
      </c>
      <c r="K49" s="6" t="s">
        <v>144</v>
      </c>
      <c r="M49" s="21" t="s">
        <v>73</v>
      </c>
      <c r="N49" s="34">
        <f>COUNTIF(Tabela1[GESTOR(A)
ATUANTE],M49)+COUNTIF(Tabela2[GESTOR(A)
ATUANTE],M49)+COUNTIF(Tabela3[GESTOR(A)
ATUANTE],M49)</f>
        <v>14</v>
      </c>
    </row>
    <row r="50" spans="1:15" ht="13.5" x14ac:dyDescent="0.25">
      <c r="B50" s="25" t="s">
        <v>71</v>
      </c>
      <c r="C50" s="25"/>
      <c r="D50" s="9"/>
      <c r="E50" s="9"/>
      <c r="F50" s="10">
        <f>SUBTOTAL(103,Tabela3[EMPRESA])</f>
        <v>15</v>
      </c>
      <c r="G50" s="10"/>
      <c r="H50" s="10"/>
      <c r="I50" s="9"/>
      <c r="J50" s="9"/>
      <c r="K50" s="9"/>
      <c r="M50" s="21" t="s">
        <v>141</v>
      </c>
      <c r="N50" s="34">
        <f>COUNTIF(Tabela1[GESTOR(A)
ATUANTE],M50)+COUNTIF(Tabela2[GESTOR(A)
ATUANTE],M50)+COUNTIF(Tabela3[GESTOR(A)
ATUANTE],M50)</f>
        <v>6</v>
      </c>
    </row>
    <row r="51" spans="1:15" ht="13.5" x14ac:dyDescent="0.25">
      <c r="B51" s="6" t="s">
        <v>1</v>
      </c>
      <c r="C51" s="13">
        <f>COUNTIF(Tabela3[GESTOR(A)
ATUANTE],B51)</f>
        <v>1</v>
      </c>
      <c r="G51" s="4"/>
      <c r="M51" s="30"/>
    </row>
    <row r="52" spans="1:15" ht="13.5" x14ac:dyDescent="0.25">
      <c r="B52" s="6" t="s">
        <v>73</v>
      </c>
      <c r="C52" s="13">
        <f>COUNTIF(Tabela3[GESTOR(A)
ATUANTE],B52)</f>
        <v>14</v>
      </c>
      <c r="G52" s="4"/>
      <c r="M52" s="30"/>
    </row>
    <row r="53" spans="1:15" ht="13.5" x14ac:dyDescent="0.25">
      <c r="D53" s="19"/>
      <c r="G53" s="4"/>
      <c r="M53" s="30"/>
    </row>
    <row r="54" spans="1:15" ht="24" customHeight="1" x14ac:dyDescent="0.25">
      <c r="A54" s="47" t="s">
        <v>70</v>
      </c>
      <c r="B54" s="48"/>
      <c r="C54" s="48"/>
      <c r="D54" s="48"/>
      <c r="E54" s="48"/>
      <c r="F54" s="48"/>
      <c r="G54" s="48"/>
      <c r="H54" s="48"/>
      <c r="I54" s="48"/>
      <c r="J54" s="48"/>
      <c r="K54" s="49"/>
      <c r="L54" s="32"/>
      <c r="M54" s="45" t="s">
        <v>169</v>
      </c>
      <c r="N54" s="45"/>
      <c r="O54" s="35"/>
    </row>
    <row r="55" spans="1:15" x14ac:dyDescent="0.25">
      <c r="A55" s="18" t="s">
        <v>3</v>
      </c>
      <c r="B55" s="1" t="s">
        <v>0</v>
      </c>
      <c r="C55" s="1" t="s">
        <v>131</v>
      </c>
      <c r="D55" s="2" t="s">
        <v>2</v>
      </c>
      <c r="E55" s="2" t="s">
        <v>23</v>
      </c>
      <c r="F55" s="18" t="s">
        <v>24</v>
      </c>
      <c r="G55" s="2" t="s">
        <v>160</v>
      </c>
      <c r="H55" s="2" t="s">
        <v>161</v>
      </c>
      <c r="I55" s="18" t="s">
        <v>132</v>
      </c>
      <c r="J55" s="18" t="s">
        <v>133</v>
      </c>
      <c r="K55" s="18" t="s">
        <v>134</v>
      </c>
      <c r="L55"/>
      <c r="M55" s="36" t="s">
        <v>168</v>
      </c>
      <c r="N55" s="37" cm="1">
        <f t="array" ref="N55">SUMPRODUCT(IF(ISERROR(FIND(M55, $D$3:$D$69)), 0, 1))</f>
        <v>12</v>
      </c>
      <c r="O55" s="31"/>
    </row>
    <row r="56" spans="1:15" x14ac:dyDescent="0.25">
      <c r="A56" s="40" t="s">
        <v>49</v>
      </c>
      <c r="B56" s="20" t="s">
        <v>142</v>
      </c>
      <c r="C56" s="6" t="s">
        <v>1</v>
      </c>
      <c r="D56" s="21" t="s">
        <v>158</v>
      </c>
      <c r="E56" s="21" t="s">
        <v>57</v>
      </c>
      <c r="F56" s="21" t="s">
        <v>58</v>
      </c>
      <c r="G56" s="28">
        <v>0.6603</v>
      </c>
      <c r="H56" s="25" t="s">
        <v>162</v>
      </c>
      <c r="I56" s="6" t="s">
        <v>153</v>
      </c>
      <c r="J56" s="6" t="s">
        <v>135</v>
      </c>
      <c r="K56" s="6" t="s">
        <v>144</v>
      </c>
      <c r="L56"/>
      <c r="M56" s="36" t="s">
        <v>145</v>
      </c>
      <c r="N56" s="37" cm="1">
        <f t="array" ref="N56">SUMPRODUCT(IF(ISERROR(FIND(M56, $D$3:$D$69)), 0, 1))</f>
        <v>19</v>
      </c>
      <c r="O56" s="31"/>
    </row>
    <row r="57" spans="1:15" x14ac:dyDescent="0.25">
      <c r="A57" s="41" t="s">
        <v>50</v>
      </c>
      <c r="B57" s="20" t="s">
        <v>142</v>
      </c>
      <c r="C57" s="6" t="s">
        <v>1</v>
      </c>
      <c r="D57" s="21" t="s">
        <v>158</v>
      </c>
      <c r="E57" s="21" t="s">
        <v>57</v>
      </c>
      <c r="F57" s="21" t="s">
        <v>59</v>
      </c>
      <c r="G57" s="28">
        <v>0.51629999999999998</v>
      </c>
      <c r="H57" s="21" t="s">
        <v>162</v>
      </c>
      <c r="I57" s="6" t="s">
        <v>153</v>
      </c>
      <c r="J57" s="6" t="s">
        <v>135</v>
      </c>
      <c r="K57" s="6" t="s">
        <v>135</v>
      </c>
      <c r="L57"/>
      <c r="M57" s="36" t="s">
        <v>142</v>
      </c>
      <c r="N57" s="37" cm="1">
        <f t="array" ref="N57">SUMPRODUCT(IF(ISERROR(FIND(M57, $D$3:$D$69)), 0, 1))</f>
        <v>6</v>
      </c>
      <c r="O57" s="31"/>
    </row>
    <row r="58" spans="1:15" x14ac:dyDescent="0.25">
      <c r="A58" s="40" t="s">
        <v>126</v>
      </c>
      <c r="B58" s="20" t="s">
        <v>142</v>
      </c>
      <c r="C58" s="6" t="s">
        <v>1</v>
      </c>
      <c r="D58" s="21" t="s">
        <v>154</v>
      </c>
      <c r="E58" s="21" t="s">
        <v>127</v>
      </c>
      <c r="F58" s="21" t="s">
        <v>117</v>
      </c>
      <c r="G58" s="28">
        <v>0.99219999999999997</v>
      </c>
      <c r="H58" s="21" t="s">
        <v>163</v>
      </c>
      <c r="I58" s="6" t="s">
        <v>153</v>
      </c>
      <c r="J58" s="6" t="s">
        <v>135</v>
      </c>
      <c r="K58" s="6" t="s">
        <v>135</v>
      </c>
      <c r="L58"/>
      <c r="M58" s="36" t="s">
        <v>141</v>
      </c>
      <c r="N58" s="37" cm="1">
        <f t="array" ref="N58">SUMPRODUCT(IF(ISERROR(FIND(M58, $D$3:$D$69)), 0, 1))</f>
        <v>6</v>
      </c>
      <c r="O58" s="31"/>
    </row>
    <row r="59" spans="1:15" x14ac:dyDescent="0.25">
      <c r="A59" s="41" t="s">
        <v>128</v>
      </c>
      <c r="B59" s="20" t="s">
        <v>142</v>
      </c>
      <c r="C59" s="6" t="s">
        <v>1</v>
      </c>
      <c r="D59" s="21" t="s">
        <v>158</v>
      </c>
      <c r="E59" s="21" t="s">
        <v>57</v>
      </c>
      <c r="F59" s="21" t="s">
        <v>129</v>
      </c>
      <c r="G59" s="28">
        <v>0.99539999999999995</v>
      </c>
      <c r="H59" s="21" t="s">
        <v>163</v>
      </c>
      <c r="I59" s="6" t="s">
        <v>153</v>
      </c>
      <c r="J59" s="6" t="s">
        <v>135</v>
      </c>
      <c r="K59" s="6" t="s">
        <v>135</v>
      </c>
      <c r="L59"/>
      <c r="M59" s="36" t="s">
        <v>167</v>
      </c>
      <c r="N59" s="37" cm="1">
        <f t="array" ref="N59">SUMPRODUCT(IF(ISERROR(FIND(M59, $D$3:$D$69)), 0, 1))</f>
        <v>15</v>
      </c>
      <c r="O59" s="31"/>
    </row>
    <row r="60" spans="1:15" x14ac:dyDescent="0.25">
      <c r="A60" s="40" t="s">
        <v>51</v>
      </c>
      <c r="B60" s="20" t="s">
        <v>142</v>
      </c>
      <c r="C60" s="6" t="s">
        <v>1</v>
      </c>
      <c r="D60" s="21" t="s">
        <v>158</v>
      </c>
      <c r="E60" s="21" t="s">
        <v>57</v>
      </c>
      <c r="F60" s="21" t="s">
        <v>60</v>
      </c>
      <c r="G60" s="28">
        <v>0.43519999999999998</v>
      </c>
      <c r="H60" s="21" t="s">
        <v>162</v>
      </c>
      <c r="I60" s="6" t="s">
        <v>153</v>
      </c>
      <c r="J60" s="6" t="s">
        <v>135</v>
      </c>
      <c r="K60" s="6" t="s">
        <v>135</v>
      </c>
      <c r="L60"/>
      <c r="M60" s="36" t="s">
        <v>153</v>
      </c>
      <c r="N60" s="37" cm="1">
        <f t="array" ref="N60">SUMPRODUCT(IF(ISERROR(FIND(M60, $D$3:$D$69)), 0, 1))</f>
        <v>17</v>
      </c>
      <c r="O60" s="31"/>
    </row>
    <row r="61" spans="1:15" x14ac:dyDescent="0.25">
      <c r="A61" s="41" t="s">
        <v>52</v>
      </c>
      <c r="B61" s="5" t="s">
        <v>142</v>
      </c>
      <c r="C61" s="6" t="s">
        <v>1</v>
      </c>
      <c r="D61" s="21" t="s">
        <v>158</v>
      </c>
      <c r="E61" s="6" t="s">
        <v>61</v>
      </c>
      <c r="F61" s="21" t="s">
        <v>62</v>
      </c>
      <c r="G61" s="28">
        <v>0.5958</v>
      </c>
      <c r="H61" s="21" t="s">
        <v>162</v>
      </c>
      <c r="I61" s="6" t="s">
        <v>153</v>
      </c>
      <c r="J61" s="6" t="s">
        <v>135</v>
      </c>
      <c r="K61" s="6" t="s">
        <v>135</v>
      </c>
      <c r="L61"/>
      <c r="M61" s="21" t="s">
        <v>148</v>
      </c>
      <c r="N61" s="37" cm="1">
        <f t="array" ref="N61">SUMPRODUCT(IF(ISERROR(FIND(M61, $D$3:$D$69)), 0, 1))</f>
        <v>21</v>
      </c>
      <c r="O61" s="31"/>
    </row>
    <row r="62" spans="1:15" x14ac:dyDescent="0.25">
      <c r="A62" s="40" t="s">
        <v>53</v>
      </c>
      <c r="B62" s="5" t="s">
        <v>142</v>
      </c>
      <c r="C62" s="6" t="s">
        <v>1</v>
      </c>
      <c r="D62" s="21" t="s">
        <v>158</v>
      </c>
      <c r="E62" s="6" t="s">
        <v>63</v>
      </c>
      <c r="F62" s="21" t="s">
        <v>64</v>
      </c>
      <c r="G62" s="28">
        <v>0.84209999999999996</v>
      </c>
      <c r="H62" s="21" t="s">
        <v>162</v>
      </c>
      <c r="I62" s="6" t="s">
        <v>153</v>
      </c>
      <c r="J62" s="6" t="s">
        <v>135</v>
      </c>
      <c r="K62" s="6" t="s">
        <v>135</v>
      </c>
      <c r="L62"/>
      <c r="M62" s="21" t="s">
        <v>170</v>
      </c>
      <c r="N62" s="37" cm="1">
        <f t="array" ref="N62">SUMPRODUCT(IF(ISERROR(FIND(M62, $D$3:$D$69)), 0, 1))</f>
        <v>1</v>
      </c>
      <c r="O62" s="31"/>
    </row>
    <row r="63" spans="1:15" x14ac:dyDescent="0.25">
      <c r="A63" s="42" t="s">
        <v>100</v>
      </c>
      <c r="B63" s="16" t="s">
        <v>141</v>
      </c>
      <c r="C63" s="17" t="s">
        <v>140</v>
      </c>
      <c r="D63" s="15" t="s">
        <v>159</v>
      </c>
      <c r="E63" s="15" t="s">
        <v>106</v>
      </c>
      <c r="F63" s="22" t="s">
        <v>143</v>
      </c>
      <c r="G63" s="29">
        <v>0</v>
      </c>
      <c r="H63" s="22" t="s">
        <v>162</v>
      </c>
      <c r="I63" s="15" t="s">
        <v>157</v>
      </c>
      <c r="J63" s="15" t="str">
        <f t="shared" ref="J63:J69" si="0">UPPER("REJANE VASCONCELOS")</f>
        <v>REJANE VASCONCELOS</v>
      </c>
      <c r="K63" s="15" t="s">
        <v>135</v>
      </c>
      <c r="L63"/>
      <c r="M63" s="21" t="s">
        <v>151</v>
      </c>
      <c r="N63" s="37" cm="1">
        <f t="array" ref="N63">SUMPRODUCT(IF(ISERROR(FIND(M63, $D$3:$D$69)), 0, 1))</f>
        <v>13</v>
      </c>
      <c r="O63" s="31"/>
    </row>
    <row r="64" spans="1:15" x14ac:dyDescent="0.25">
      <c r="A64" s="43" t="s">
        <v>16</v>
      </c>
      <c r="B64" s="17" t="s">
        <v>140</v>
      </c>
      <c r="C64" s="16" t="s">
        <v>141</v>
      </c>
      <c r="D64" s="15" t="s">
        <v>159</v>
      </c>
      <c r="E64" s="15" t="s">
        <v>38</v>
      </c>
      <c r="F64" s="22" t="s">
        <v>30</v>
      </c>
      <c r="G64" s="29">
        <v>0.85919999999999996</v>
      </c>
      <c r="H64" s="22" t="s">
        <v>162</v>
      </c>
      <c r="I64" s="15" t="s">
        <v>157</v>
      </c>
      <c r="J64" s="15" t="str">
        <f t="shared" si="0"/>
        <v>REJANE VASCONCELOS</v>
      </c>
      <c r="K64" s="15" t="s">
        <v>135</v>
      </c>
      <c r="L64"/>
      <c r="M64" s="31"/>
      <c r="N64" s="31"/>
      <c r="O64" s="31"/>
    </row>
    <row r="65" spans="1:15" x14ac:dyDescent="0.25">
      <c r="A65" s="43" t="s">
        <v>107</v>
      </c>
      <c r="B65" s="16" t="s">
        <v>141</v>
      </c>
      <c r="C65" s="17" t="s">
        <v>140</v>
      </c>
      <c r="D65" s="15" t="s">
        <v>155</v>
      </c>
      <c r="E65" s="15" t="str">
        <f>UPPER("Miguel Pereira")</f>
        <v>MIGUEL PEREIRA</v>
      </c>
      <c r="F65" s="22" t="s">
        <v>108</v>
      </c>
      <c r="G65" s="29">
        <v>7.0000000000000007E-2</v>
      </c>
      <c r="H65" s="22" t="s">
        <v>162</v>
      </c>
      <c r="I65" s="15" t="s">
        <v>157</v>
      </c>
      <c r="J65" s="15" t="str">
        <f t="shared" si="0"/>
        <v>REJANE VASCONCELOS</v>
      </c>
      <c r="K65" s="15" t="s">
        <v>135</v>
      </c>
      <c r="L65"/>
      <c r="M65" s="30"/>
      <c r="N65" s="31"/>
      <c r="O65" s="31"/>
    </row>
    <row r="66" spans="1:15" x14ac:dyDescent="0.25">
      <c r="A66" s="40" t="s">
        <v>54</v>
      </c>
      <c r="B66" s="5" t="s">
        <v>141</v>
      </c>
      <c r="C66" s="8" t="s">
        <v>140</v>
      </c>
      <c r="D66" s="6" t="s">
        <v>159</v>
      </c>
      <c r="E66" s="6" t="s">
        <v>65</v>
      </c>
      <c r="F66" s="21" t="s">
        <v>136</v>
      </c>
      <c r="G66" s="28">
        <v>0.87860000000000005</v>
      </c>
      <c r="H66" s="21" t="s">
        <v>162</v>
      </c>
      <c r="I66" s="21" t="s">
        <v>157</v>
      </c>
      <c r="J66" s="6" t="str">
        <f t="shared" si="0"/>
        <v>REJANE VASCONCELOS</v>
      </c>
      <c r="K66" s="6" t="s">
        <v>135</v>
      </c>
      <c r="M66"/>
      <c r="N66" s="31"/>
      <c r="O66" s="31"/>
    </row>
    <row r="67" spans="1:15" x14ac:dyDescent="0.25">
      <c r="A67" s="41" t="s">
        <v>123</v>
      </c>
      <c r="B67" s="5" t="s">
        <v>141</v>
      </c>
      <c r="C67" s="8" t="s">
        <v>140</v>
      </c>
      <c r="D67" s="6" t="s">
        <v>159</v>
      </c>
      <c r="E67" s="6" t="s">
        <v>124</v>
      </c>
      <c r="F67" s="21" t="s">
        <v>125</v>
      </c>
      <c r="G67" s="28">
        <v>0</v>
      </c>
      <c r="H67" s="21" t="s">
        <v>162</v>
      </c>
      <c r="I67" s="21" t="s">
        <v>157</v>
      </c>
      <c r="J67" s="6" t="str">
        <f t="shared" si="0"/>
        <v>REJANE VASCONCELOS</v>
      </c>
      <c r="K67" s="6" t="s">
        <v>135</v>
      </c>
      <c r="M67"/>
    </row>
    <row r="68" spans="1:15" x14ac:dyDescent="0.25">
      <c r="A68" s="40" t="s">
        <v>55</v>
      </c>
      <c r="B68" s="5" t="s">
        <v>141</v>
      </c>
      <c r="C68" s="8" t="s">
        <v>140</v>
      </c>
      <c r="D68" s="6" t="s">
        <v>159</v>
      </c>
      <c r="E68" s="6" t="s">
        <v>66</v>
      </c>
      <c r="F68" s="21" t="s">
        <v>67</v>
      </c>
      <c r="G68" s="28">
        <v>0.97019999999999995</v>
      </c>
      <c r="H68" s="21" t="s">
        <v>162</v>
      </c>
      <c r="I68" s="21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41" t="s">
        <v>56</v>
      </c>
      <c r="B69" s="8" t="s">
        <v>141</v>
      </c>
      <c r="C69" s="8" t="s">
        <v>140</v>
      </c>
      <c r="D69" s="9" t="s">
        <v>159</v>
      </c>
      <c r="E69" s="9" t="s">
        <v>68</v>
      </c>
      <c r="F69" s="21" t="s">
        <v>69</v>
      </c>
      <c r="G69" s="28">
        <v>0.31530000000000002</v>
      </c>
      <c r="H69" s="21" t="s">
        <v>162</v>
      </c>
      <c r="I69" s="21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23"/>
      <c r="B70" s="8" t="s">
        <v>71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M70"/>
    </row>
    <row r="71" spans="1:15" x14ac:dyDescent="0.25">
      <c r="B71" s="6" t="s">
        <v>142</v>
      </c>
      <c r="C71" s="13">
        <f>COUNTIF(Tabela2[GESTOR(A)
ATUANTE],B71)</f>
        <v>7</v>
      </c>
      <c r="N71" s="31"/>
    </row>
    <row r="72" spans="1:15" x14ac:dyDescent="0.25">
      <c r="B72" s="6" t="s">
        <v>141</v>
      </c>
      <c r="C72" s="13">
        <f>COUNTIF(Tabela2[GESTOR(A)
ATUANTE],B72)</f>
        <v>6</v>
      </c>
      <c r="N72" s="31"/>
    </row>
    <row r="73" spans="1:15" x14ac:dyDescent="0.25">
      <c r="N73" s="31"/>
    </row>
    <row r="74" spans="1:15" x14ac:dyDescent="0.25">
      <c r="B74"/>
      <c r="C74"/>
      <c r="D74"/>
      <c r="E74"/>
      <c r="F74"/>
      <c r="N74" s="31"/>
    </row>
    <row r="75" spans="1:15" x14ac:dyDescent="0.25">
      <c r="D75" s="23"/>
      <c r="E75"/>
      <c r="F75"/>
      <c r="N75" s="31"/>
    </row>
    <row r="76" spans="1:15" x14ac:dyDescent="0.25">
      <c r="E76"/>
      <c r="F76"/>
      <c r="N76" s="31"/>
    </row>
    <row r="77" spans="1:15" x14ac:dyDescent="0.25">
      <c r="E77"/>
      <c r="F77"/>
      <c r="N77" s="31"/>
    </row>
    <row r="78" spans="1:15" x14ac:dyDescent="0.25">
      <c r="E78"/>
      <c r="F78"/>
      <c r="N78" s="31"/>
    </row>
    <row r="79" spans="1:15" x14ac:dyDescent="0.25">
      <c r="E79"/>
      <c r="F79"/>
      <c r="N79" s="31"/>
    </row>
    <row r="80" spans="1:15" x14ac:dyDescent="0.25">
      <c r="G80" s="4"/>
      <c r="N80" s="31"/>
    </row>
    <row r="81" spans="2:14" x14ac:dyDescent="0.25">
      <c r="B81"/>
      <c r="C81"/>
      <c r="D81"/>
      <c r="G81" s="4"/>
      <c r="N81" s="31"/>
    </row>
    <row r="82" spans="2:14" x14ac:dyDescent="0.25">
      <c r="B82"/>
      <c r="C82"/>
      <c r="D82"/>
      <c r="G82" s="4"/>
      <c r="N82" s="31"/>
    </row>
    <row r="83" spans="2:14" x14ac:dyDescent="0.25">
      <c r="G83" s="4"/>
      <c r="N83" s="31"/>
    </row>
    <row r="84" spans="2:14" x14ac:dyDescent="0.25">
      <c r="G84" s="4"/>
      <c r="N84" s="31"/>
    </row>
    <row r="85" spans="2:14" x14ac:dyDescent="0.25">
      <c r="G85" s="4"/>
      <c r="N85" s="31"/>
    </row>
    <row r="86" spans="2:14" x14ac:dyDescent="0.25">
      <c r="E86"/>
      <c r="F86"/>
      <c r="N86" s="31"/>
    </row>
    <row r="90" spans="2:14" x14ac:dyDescent="0.25">
      <c r="H90"/>
      <c r="I90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</sheetData>
  <sortState xmlns:xlrd2="http://schemas.microsoft.com/office/spreadsheetml/2017/richdata2" ref="M6:M8">
    <sortCondition ref="M6:M8"/>
  </sortState>
  <mergeCells count="5">
    <mergeCell ref="A1:K1"/>
    <mergeCell ref="M54:N54"/>
    <mergeCell ref="A33:K33"/>
    <mergeCell ref="M45:N45"/>
    <mergeCell ref="A54:K54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  <ignoredError sqref="N55:N63" emptyCellReferenc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2026-03-05T18:15:35Z</dcterms:modified>
</cp:coreProperties>
</file>