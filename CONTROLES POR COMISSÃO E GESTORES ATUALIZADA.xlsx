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CB45097E-EE60-4BEB-BA05-2EFF306343C5}" xr6:coauthVersionLast="47" xr6:coauthVersionMax="47" xr10:uidLastSave="{00000000-0000-0000-0000-000000000000}"/>
  <bookViews>
    <workbookView xWindow="-28920" yWindow="-120" windowWidth="29040" windowHeight="15720" tabRatio="454" xr2:uid="{B96EB9A8-6169-46F2-89FD-740783B0C7B5}"/>
  </bookViews>
  <sheets>
    <sheet name="Planilha1" sheetId="1" r:id="rId1"/>
  </sheets>
  <definedNames>
    <definedName name="_xlnm._FilterDatabase" localSheetId="0" hidden="1">Planilha1!$A$1:$A$33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" i="1" l="1" a="1"/>
  <c r="O60" i="1" s="1"/>
  <c r="O63" i="1" a="1"/>
  <c r="O63" i="1" s="1"/>
  <c r="O68" i="1" l="1" a="1"/>
  <c r="O68" i="1" s="1"/>
  <c r="O69" i="1" a="1"/>
  <c r="O69" i="1" s="1"/>
  <c r="O70" i="1" a="1"/>
  <c r="O70" i="1" s="1"/>
  <c r="O62" i="1" a="1"/>
  <c r="O62" i="1" s="1"/>
  <c r="O64" i="1" a="1"/>
  <c r="O64" i="1" s="1"/>
  <c r="O65" i="1" a="1"/>
  <c r="O65" i="1" s="1"/>
  <c r="O66" i="1" a="1"/>
  <c r="O66" i="1" s="1"/>
  <c r="O67" i="1" a="1"/>
  <c r="O67" i="1" s="1"/>
  <c r="O61" i="1" a="1"/>
  <c r="O61" i="1" s="1"/>
  <c r="J74" i="1" l="1"/>
  <c r="J73" i="1"/>
  <c r="J72" i="1"/>
  <c r="J71" i="1"/>
  <c r="J68" i="1"/>
  <c r="E70" i="1" l="1"/>
  <c r="O52" i="1"/>
  <c r="O53" i="1"/>
  <c r="O54" i="1"/>
  <c r="O55" i="1"/>
  <c r="O51" i="1"/>
  <c r="C57" i="1"/>
  <c r="C56" i="1" l="1"/>
  <c r="F55" i="1"/>
  <c r="C77" i="1"/>
  <c r="C76" i="1"/>
  <c r="F75" i="1"/>
  <c r="F34" i="1"/>
  <c r="C36" i="1"/>
  <c r="C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<sst xmlns="http://schemas.openxmlformats.org/spreadsheetml/2006/main" count="724" uniqueCount="184">
  <si>
    <t>GESTOR(A)
ATUANTE</t>
  </si>
  <si>
    <t>CARLOS FERNANDES</t>
  </si>
  <si>
    <t>FISCAL NOMEADO</t>
  </si>
  <si>
    <t>SEI</t>
  </si>
  <si>
    <t>330018/001025/2021</t>
  </si>
  <si>
    <t>170026/001548/2021</t>
  </si>
  <si>
    <t>330018/001303/2022</t>
  </si>
  <si>
    <t>460001/000821/2023</t>
  </si>
  <si>
    <t>330001/002122/2024</t>
  </si>
  <si>
    <t>330018/001041/2021</t>
  </si>
  <si>
    <t>460001/000827/2023</t>
  </si>
  <si>
    <t>330018/000107/2022</t>
  </si>
  <si>
    <t>330018/001213/2022</t>
  </si>
  <si>
    <t>330018/001148/2022</t>
  </si>
  <si>
    <t>330001/001344/2025</t>
  </si>
  <si>
    <t>330018/000843/2021</t>
  </si>
  <si>
    <t>330018/001440/2022</t>
  </si>
  <si>
    <t>330001/001282/2024</t>
  </si>
  <si>
    <t>330018/000530/2022</t>
  </si>
  <si>
    <t>330018/000675/2022</t>
  </si>
  <si>
    <t>330001/001680/2024</t>
  </si>
  <si>
    <t>330018/000567/2021</t>
  </si>
  <si>
    <t>330018/000529/2022</t>
  </si>
  <si>
    <t>MUNICIPIO</t>
  </si>
  <si>
    <t>EMPRESA</t>
  </si>
  <si>
    <t>DUQUE DE CAXIAS</t>
  </si>
  <si>
    <t>ACA</t>
  </si>
  <si>
    <t>SÃO JOÃO DE MERITI</t>
  </si>
  <si>
    <t>NOVA IGUAÇÚ</t>
  </si>
  <si>
    <t>CONSTRUTEC</t>
  </si>
  <si>
    <t>LYTORANEA</t>
  </si>
  <si>
    <t>QUEIMADOS</t>
  </si>
  <si>
    <t>ÔMEGA</t>
  </si>
  <si>
    <t>ORIENTE LTDA</t>
  </si>
  <si>
    <t>BELFORD ROXO</t>
  </si>
  <si>
    <t>SEEL</t>
  </si>
  <si>
    <t>STATLED BRASIL</t>
  </si>
  <si>
    <t>RIO DE JANEIRO</t>
  </si>
  <si>
    <t>MIGUEL PEREIRA</t>
  </si>
  <si>
    <t>NILÓPOLIS</t>
  </si>
  <si>
    <t>CTESA CONSTRUÇÕES</t>
  </si>
  <si>
    <t>ORIENTE</t>
  </si>
  <si>
    <t>STATLED</t>
  </si>
  <si>
    <t>RIO DAS FLORES</t>
  </si>
  <si>
    <t>R. RITA</t>
  </si>
  <si>
    <t>JAPERI</t>
  </si>
  <si>
    <t>CMAX</t>
  </si>
  <si>
    <t>SANTA LUZIA</t>
  </si>
  <si>
    <t>330018/000694/2021</t>
  </si>
  <si>
    <t>330018/000695/2021</t>
  </si>
  <si>
    <t>330018/000696/2021</t>
  </si>
  <si>
    <t>170026/001772/2022</t>
  </si>
  <si>
    <t>330018/001380/2022</t>
  </si>
  <si>
    <t>460001/001990/2023</t>
  </si>
  <si>
    <t>330018/000085/2022</t>
  </si>
  <si>
    <t>330018/000658/2022</t>
  </si>
  <si>
    <t>CAMPOS</t>
  </si>
  <si>
    <t xml:space="preserve">IMBEG </t>
  </si>
  <si>
    <t xml:space="preserve">ACA </t>
  </si>
  <si>
    <t xml:space="preserve">NOVO MUNDO </t>
  </si>
  <si>
    <t>CONCEIÇÃO DE MACABU</t>
  </si>
  <si>
    <t xml:space="preserve">PETROPUMP </t>
  </si>
  <si>
    <t>IGUABA GRANDE</t>
  </si>
  <si>
    <t xml:space="preserve">FLUMINENSE </t>
  </si>
  <si>
    <t>CARDOSO MOREIRA</t>
  </si>
  <si>
    <t>ITAPERUNA</t>
  </si>
  <si>
    <t xml:space="preserve">CONSTRUSAN </t>
  </si>
  <si>
    <t>SÃO SEBASTIÃO DO ALTO</t>
  </si>
  <si>
    <t xml:space="preserve">CONPLAN </t>
  </si>
  <si>
    <t>Total</t>
  </si>
  <si>
    <t>JAQUELINE PASTÓRIO</t>
  </si>
  <si>
    <t>330018/001109/2022</t>
  </si>
  <si>
    <t>330018/000053/2023</t>
  </si>
  <si>
    <t>330018/000697/2021</t>
  </si>
  <si>
    <t>330018/000699/2021</t>
  </si>
  <si>
    <t>330018/000630/2021</t>
  </si>
  <si>
    <t>330018/000681/2021</t>
  </si>
  <si>
    <t>330018/000569/2021</t>
  </si>
  <si>
    <t>330001/000538/2024</t>
  </si>
  <si>
    <t>330018/001062/2022</t>
  </si>
  <si>
    <t>460001/002050/2023</t>
  </si>
  <si>
    <t>330001/001080/2025</t>
  </si>
  <si>
    <t>BARRA MANSA</t>
  </si>
  <si>
    <t>RIO CLARO</t>
  </si>
  <si>
    <t>VOLTA REDONDA</t>
  </si>
  <si>
    <t>DEMOB 1</t>
  </si>
  <si>
    <t>DEMOB 2</t>
  </si>
  <si>
    <t>DEMOB 3</t>
  </si>
  <si>
    <t>VALENÇA</t>
  </si>
  <si>
    <t>PINHEIRAL</t>
  </si>
  <si>
    <t>ERWIL</t>
  </si>
  <si>
    <t>BARRA DO PIRAÍ</t>
  </si>
  <si>
    <t>AXIAL</t>
  </si>
  <si>
    <t>330001/001081/2025</t>
  </si>
  <si>
    <t>330001/001280/2024</t>
  </si>
  <si>
    <t>330018/000421/2023</t>
  </si>
  <si>
    <t>330001/001275/2024</t>
  </si>
  <si>
    <t>E-17/001/219/2018</t>
  </si>
  <si>
    <t>SOLVE CONSULTORIA</t>
  </si>
  <si>
    <t>SOLOTESTE</t>
  </si>
  <si>
    <t>PETROPOLIS</t>
  </si>
  <si>
    <t>ECONORTE</t>
  </si>
  <si>
    <t>MARENGE</t>
  </si>
  <si>
    <t>BOM JARDIM</t>
  </si>
  <si>
    <t>170026/001837/2022</t>
  </si>
  <si>
    <t>PETROPUMP</t>
  </si>
  <si>
    <t>MAGARATIBA</t>
  </si>
  <si>
    <t>330001/001441/2024</t>
  </si>
  <si>
    <t>170026/000318/2022</t>
  </si>
  <si>
    <t>170026/003250/2021</t>
  </si>
  <si>
    <t>170026/001908/2021</t>
  </si>
  <si>
    <t>MIDAS</t>
  </si>
  <si>
    <t>330001/000715/2024</t>
  </si>
  <si>
    <t>HJ RODRIGUES</t>
  </si>
  <si>
    <t>JKN</t>
  </si>
  <si>
    <t>170026/001641/2021</t>
  </si>
  <si>
    <t>RESENDE</t>
  </si>
  <si>
    <t>DE SÁ</t>
  </si>
  <si>
    <t>330001/001337/2025</t>
  </si>
  <si>
    <t>DRV ENGENHARIA</t>
  </si>
  <si>
    <t>330001/001345/2025</t>
  </si>
  <si>
    <t>CAMPOS DOS GOYTACAZES</t>
  </si>
  <si>
    <t>FAB MIX</t>
  </si>
  <si>
    <t>170026/001792/2021</t>
  </si>
  <si>
    <t>TERESOPOLIS</t>
  </si>
  <si>
    <t>330018/000619/2021</t>
  </si>
  <si>
    <t>PARQUE SARAIVA</t>
  </si>
  <si>
    <t>170026/002017/2021</t>
  </si>
  <si>
    <t>GESTOR SUPLENTE</t>
  </si>
  <si>
    <t>FISCAL SUPLENTE</t>
  </si>
  <si>
    <t>ADM</t>
  </si>
  <si>
    <t>ADM SUPLENTE</t>
  </si>
  <si>
    <t>CAROLINA VILA VERDE</t>
  </si>
  <si>
    <t>PREST RIO</t>
  </si>
  <si>
    <t>ABRE CONST.</t>
  </si>
  <si>
    <t>CONST. AXIAL LTDA</t>
  </si>
  <si>
    <t>PLENAPLAN</t>
  </si>
  <si>
    <t>GISELLE G. FONSECA</t>
  </si>
  <si>
    <t>JEHNIFFER PIRES</t>
  </si>
  <si>
    <t>ISADORA ROSALINO</t>
  </si>
  <si>
    <t>SOPE ENG.</t>
  </si>
  <si>
    <t>REJANE VASCONCELOS</t>
  </si>
  <si>
    <t>ARLINDO BASILIO</t>
  </si>
  <si>
    <t>NICHOLAS TAVARES</t>
  </si>
  <si>
    <t>OTAVIO FEITOSA</t>
  </si>
  <si>
    <t>LUCIANA POSTIÇO</t>
  </si>
  <si>
    <t>LUCIANA POSTIÇO / NICHOLAS TAVARES</t>
  </si>
  <si>
    <t>LUCIANA POSTIÇO / LEANDRO RAMOS</t>
  </si>
  <si>
    <t xml:space="preserve"> LEANDRO RAMOS</t>
  </si>
  <si>
    <t>JEHNIFFER PIRES / ANDREIA VASQUES</t>
  </si>
  <si>
    <t>ANDREIA VASQUES / ISADORA ROSALINO</t>
  </si>
  <si>
    <t>%EXEC</t>
  </si>
  <si>
    <t>STATUS</t>
  </si>
  <si>
    <t>EXECUÇÃO</t>
  </si>
  <si>
    <t>CONCLUÍDA</t>
  </si>
  <si>
    <t>SUSPENSA</t>
  </si>
  <si>
    <t>CONS. SÃO JOÃO</t>
  </si>
  <si>
    <t>TOTALIZADO POR FISCAIS EM TODAS AS REGIÕES</t>
  </si>
  <si>
    <t>LEANDRO RAMOS</t>
  </si>
  <si>
    <t>ANDREIA VASQUES</t>
  </si>
  <si>
    <t>TOTAL DE OBRAS POR FISCAIS EM 
TODAS AS REGIÕES</t>
  </si>
  <si>
    <t>OSVALDO NETO</t>
  </si>
  <si>
    <t>460001/001617/2023</t>
  </si>
  <si>
    <t>VASSOURAS</t>
  </si>
  <si>
    <t>LUKE</t>
  </si>
  <si>
    <t>HIGOR GAMA</t>
  </si>
  <si>
    <t>REGIÃO</t>
  </si>
  <si>
    <t>BX</t>
  </si>
  <si>
    <t>REGIAO</t>
  </si>
  <si>
    <t>SL</t>
  </si>
  <si>
    <t>NT</t>
  </si>
  <si>
    <t>JULIANA FERREIRA</t>
  </si>
  <si>
    <t>170026/002665/2021</t>
  </si>
  <si>
    <t>ENGEPRAT</t>
  </si>
  <si>
    <t>HIGOR GAMA / JOAO JOSE</t>
  </si>
  <si>
    <t>HIGOR GAMA  / JOAO JOSE</t>
  </si>
  <si>
    <t>330001/001989/2024</t>
  </si>
  <si>
    <t>ANDERSON / OTAVIO FEITOSA</t>
  </si>
  <si>
    <t>JOAO</t>
  </si>
  <si>
    <t>330018/001076/2021</t>
  </si>
  <si>
    <t>170026/001178/2021</t>
  </si>
  <si>
    <t>330018/000424/2021</t>
  </si>
  <si>
    <t>330018/000423/2021</t>
  </si>
  <si>
    <t>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</si>
</sst>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3" fillId="0" borderId="0" xfId="0" applyFont="1"/>
    <xf numFmtId="49" fontId="2" fillId="0" borderId="1" xfId="0" applyNumberFormat="1" applyFont="1" applyBorder="1"/>
    <xf numFmtId="0" fontId="2" fillId="0" borderId="10" xfId="0" applyFont="1" applyBorder="1"/>
    <xf numFmtId="10" fontId="2" fillId="0" borderId="1" xfId="1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0" fontId="5" fillId="3" borderId="1" xfId="0" applyNumberFormat="1" applyFont="1" applyFill="1" applyBorder="1" applyAlignment="1">
      <alignment horizontal="right"/>
    </xf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2" fillId="4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C5AC939-5490-4601-87DD-EC57BB78B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24437-A950-46C7-AD6F-8F61E71F6C1E}" name="Tabela1" displayName="Tabela1" ref="B1:L34" totalsRowCount="1" headerRowDxfId="83" dataDxfId="81" totalsRowDxfId="79" headerRowBorderDxfId="82" tableBorderDxfId="80" totalsRowBorderDxfId="78">
  <autoFilter ref="B1:L33" xr:uid="{27B24437-A950-46C7-AD6F-8F61E71F6C1E}"/>
  <sortState xmlns:xlrd2="http://schemas.microsoft.com/office/spreadsheetml/2017/richdata2" ref="B2:F33">
    <sortCondition ref="B1:B33"/>
  </sortState>
  <tableColumns count="11">
    <tableColumn id="1" xr3:uid="{22E98AA9-BD91-48A6-A436-F9B9B588227B}" name="GESTOR(A)_x000a_ATUANTE" totalsRowLabel="Total" dataDxfId="77" totalsRowDxfId="76"/>
    <tableColumn id="6" xr3:uid="{AFF7C428-2785-471D-B4C4-F32605A0518D}" name="GESTOR SUPLENTE" dataDxfId="75" totalsRowDxfId="74"/>
    <tableColumn id="2" xr3:uid="{7C1C9573-89CB-4484-84F3-EA8644962A97}" name="FISCAL NOMEADO" dataDxfId="73" totalsRowDxfId="72"/>
    <tableColumn id="4" xr3:uid="{869013C1-BB93-4AFC-A27C-97C8999DD5A2}" name="MUNICIPIO" dataDxfId="71" totalsRowDxfId="70"/>
    <tableColumn id="5" xr3:uid="{AABBA10F-A07D-4CCB-8ECC-AF1D1AD18308}" name="EMPRESA" totalsRowFunction="custom" dataDxfId="69" totalsRowDxfId="68">
      <totalsRowFormula>SUBTOTAL(103,Tabela1[FISCAL NOMEADO])</totalsRowFormula>
    </tableColumn>
    <tableColumn id="10" xr3:uid="{F54AE55A-3B7D-4BAE-B69D-7A84D6FCB20B}" name="%EXEC" dataDxfId="67" totalsRowDxfId="66"/>
    <tableColumn id="11" xr3:uid="{8009C64F-7DBB-4571-8622-E16488DD84F8}" name="STATUS" dataDxfId="65" totalsRowDxfId="64"/>
    <tableColumn id="7" xr3:uid="{3B1DB477-9820-4552-B599-318BD8D1E405}" name="FISCAL SUPLENTE" dataDxfId="63" totalsRowDxfId="62"/>
    <tableColumn id="8" xr3:uid="{38EEE2AB-235C-4BB6-AFA5-AE2F7AC8F8C5}" name="ADM" dataDxfId="61" totalsRowDxfId="60"/>
    <tableColumn id="9" xr3:uid="{D0DD72A5-2718-4169-999D-E42F4771245F}" name="ADM SUPLENTE" dataDxfId="59" totalsRowDxfId="58"/>
    <tableColumn id="3" xr3:uid="{90725B59-E0E4-40BB-A22C-E139A882997E}" name="REGIÃO" dataDxfId="57" totalsRow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490B51-49AC-48CE-B9D3-F5913D37C0FB}" name="Tabela2" displayName="Tabela2" ref="B60:L75" totalsRowCount="1" headerRowDxfId="55" dataDxfId="53" totalsRowDxfId="51" headerRowBorderDxfId="54" tableBorderDxfId="52" totalsRowBorderDxfId="50">
  <tableColumns count="11">
    <tableColumn id="1" xr3:uid="{C168971F-8A1F-4CE0-AB1A-A91564F865A1}" name="GESTOR(A)_x000a_ATUANTE" totalsRowLabel="Total" dataDxfId="49" totalsRowDxfId="48"/>
    <tableColumn id="6" xr3:uid="{28D500DA-BD33-447D-801C-1EDBD59B514A}" name="GESTOR SUPLENTE" dataDxfId="47" totalsRowDxfId="46"/>
    <tableColumn id="2" xr3:uid="{1BC929D7-C79E-4DD8-8692-AEFFFF4E2201}" name="FISCAL NOMEADO" dataDxfId="45" totalsRowDxfId="44"/>
    <tableColumn id="4" xr3:uid="{6DB822D5-3B20-4BEB-9FA9-33D9AE724FF4}" name="MUNICIPIO" dataDxfId="43" totalsRowDxfId="42"/>
    <tableColumn id="5" xr3:uid="{1DE280A2-C1B5-497D-B2A7-425CC71F3653}" name="EMPRESA" totalsRowFunction="count" dataDxfId="41" totalsRowDxfId="40"/>
    <tableColumn id="10" xr3:uid="{95ED015E-6AEE-4CBF-A570-2665B6975A98}" name="%EXEC" dataDxfId="39" totalsRowDxfId="38"/>
    <tableColumn id="11" xr3:uid="{1C47120A-915F-4E95-BA45-AF0C41018F09}" name="STATUS" dataDxfId="37" totalsRowDxfId="36"/>
    <tableColumn id="7" xr3:uid="{0C9C4230-87B4-46C7-8DFF-3C0A2F340B11}" name="FISCAL SUPLENTE" dataDxfId="35" totalsRowDxfId="34"/>
    <tableColumn id="8" xr3:uid="{4E783EA6-0DCE-4695-BBAF-E24638D55153}" name="ADM" dataDxfId="33" totalsRowDxfId="32"/>
    <tableColumn id="9" xr3:uid="{CE385090-95B6-4F49-A43B-E7EB63C58B59}" name="ADM SUPLENTE" dataDxfId="31" totalsRowDxfId="30">
      <calculatedColumnFormula>UPPER("Rejane Vasconcelos Cristino")</calculatedColumnFormula>
    </tableColumn>
    <tableColumn id="3" xr3:uid="{F5130F37-DBCF-45A6-A6F2-A0D5D93F0713}" name="REGIAO" dataDxfId="29" totalsRow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DCA8C-BF3E-4A50-9685-635EA2C8AC88}" name="Tabela3" displayName="Tabela3" ref="B38:L55" totalsRowCount="1" headerRowDxfId="27" dataDxfId="25" totalsRowDxfId="23" headerRowBorderDxfId="26" tableBorderDxfId="24" totalsRowBorderDxfId="22">
  <sortState xmlns:xlrd2="http://schemas.microsoft.com/office/spreadsheetml/2017/richdata2" ref="B39:F54">
    <sortCondition ref="B38:B54"/>
  </sortState>
  <tableColumns count="11">
    <tableColumn id="1" xr3:uid="{7C167C76-67AF-4A26-8B9A-BCE2A4995E2A}" name="GESTOR(A)_x000a_ATUANTE" totalsRowLabel="Total" dataDxfId="21" totalsRowDxfId="20"/>
    <tableColumn id="9" xr3:uid="{884CD221-7FDF-449F-BDDC-36A59A961922}" name="GESTOR SUPLENTE" dataDxfId="19" totalsRowDxfId="18"/>
    <tableColumn id="2" xr3:uid="{4BAEAB60-D8F3-4A1C-A2A7-1AF80D70ECFB}" name="FISCAL NOMEADO" dataDxfId="17" totalsRowDxfId="16"/>
    <tableColumn id="4" xr3:uid="{92B91F80-B146-424A-9B8F-B3A204D6D240}" name="MUNICIPIO" dataDxfId="15" totalsRowDxfId="14"/>
    <tableColumn id="5" xr3:uid="{536E627B-103D-43E3-ADF4-5534C1B8AC84}" name="EMPRESA" totalsRowFunction="count" dataDxfId="13" totalsRowDxfId="12"/>
    <tableColumn id="10" xr3:uid="{6244ECFF-D04A-4C9E-9BB6-3E00642A9BA0}" name="%EXEC" dataDxfId="11" totalsRowDxfId="10"/>
    <tableColumn id="11" xr3:uid="{E519A9AE-567A-406C-B69A-B1B53C257A70}" name="STATUS" dataDxfId="9" totalsRowDxfId="8"/>
    <tableColumn id="6" xr3:uid="{682B89AE-0AB9-4B7F-8C3B-66D341320532}" name="FISCAL SUPLENTE" dataDxfId="7" totalsRowDxfId="6"/>
    <tableColumn id="7" xr3:uid="{B76C21C5-382B-4784-B00B-25BF832EBF82}" name="ADM" dataDxfId="5" totalsRowDxfId="4"/>
    <tableColumn id="8" xr3:uid="{E184221B-D39C-481A-9EF0-7BBC0BDCFFB3}" name="ADM SUPLENTE" dataDxfId="3" totalsRowDxfId="2"/>
    <tableColumn id="3" xr3:uid="{FC656C22-8A18-474F-B0C5-65DF236ED849}" name="REGIAO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397C-D407-419C-9BDA-C160B3F745EF}">
  <sheetPr codeName="Planilha1"/>
  <dimension ref="A1:P102"/>
  <sheetViews>
    <sheetView showGridLines="0" tabSelected="1" topLeftCell="A46" zoomScaleNormal="100" zoomScaleSheetLayoutView="96" workbookViewId="0">
      <selection activeCell="N60" sqref="N60:O70"/>
    </sheetView>
  </sheetViews>
  <sheetFormatPr defaultRowHeight="15" x14ac:dyDescent="0.25"/>
  <cols>
    <col min="1" max="1" width="18.42578125" style="4" bestFit="1" customWidth="1"/>
    <col min="2" max="2" width="17.85546875" style="4" bestFit="1" customWidth="1"/>
    <col min="3" max="3" width="16.85546875" style="4" customWidth="1"/>
    <col min="4" max="4" width="32.42578125" style="4" bestFit="1" customWidth="1"/>
    <col min="5" max="5" width="19.5703125" style="4" customWidth="1"/>
    <col min="6" max="6" width="18.5703125" style="4" bestFit="1" customWidth="1"/>
    <col min="7" max="7" width="7.85546875" bestFit="1" customWidth="1"/>
    <col min="8" max="8" width="10.28515625" style="4" bestFit="1" customWidth="1"/>
    <col min="9" max="9" width="16.28515625" style="4" bestFit="1" customWidth="1"/>
    <col min="10" max="11" width="19.140625" style="4" bestFit="1" customWidth="1"/>
    <col min="12" max="12" width="7" style="4" bestFit="1" customWidth="1"/>
    <col min="13" max="13" width="7" customWidth="1"/>
    <col min="14" max="14" width="37.85546875" style="4" customWidth="1"/>
    <col min="15" max="15" width="3" style="30" bestFit="1" customWidth="1"/>
    <col min="16" max="16" width="23.140625" style="30" bestFit="1" customWidth="1"/>
    <col min="17" max="17" width="34.28515625" style="4" bestFit="1" customWidth="1"/>
    <col min="18" max="16384" width="9.140625" style="4"/>
  </cols>
  <sheetData>
    <row r="1" spans="1:15" x14ac:dyDescent="0.25">
      <c r="A1" s="18" t="s">
        <v>3</v>
      </c>
      <c r="B1" s="1" t="s">
        <v>0</v>
      </c>
      <c r="C1" s="2" t="s">
        <v>128</v>
      </c>
      <c r="D1" s="2" t="s">
        <v>2</v>
      </c>
      <c r="E1" s="2" t="s">
        <v>23</v>
      </c>
      <c r="F1" s="2" t="s">
        <v>24</v>
      </c>
      <c r="G1" s="2" t="s">
        <v>151</v>
      </c>
      <c r="H1" s="2" t="s">
        <v>152</v>
      </c>
      <c r="I1" s="2" t="s">
        <v>129</v>
      </c>
      <c r="J1" s="2" t="s">
        <v>130</v>
      </c>
      <c r="K1" s="3" t="s">
        <v>131</v>
      </c>
      <c r="L1" s="18" t="s">
        <v>166</v>
      </c>
    </row>
    <row r="2" spans="1:15" x14ac:dyDescent="0.25">
      <c r="A2" s="46" t="s">
        <v>4</v>
      </c>
      <c r="B2" s="5" t="s">
        <v>1</v>
      </c>
      <c r="C2" s="6" t="s">
        <v>137</v>
      </c>
      <c r="D2" s="24" t="s">
        <v>177</v>
      </c>
      <c r="E2" s="6" t="s">
        <v>25</v>
      </c>
      <c r="F2" s="6" t="s">
        <v>26</v>
      </c>
      <c r="G2" s="27">
        <v>0.25580000000000003</v>
      </c>
      <c r="H2" s="6" t="s">
        <v>153</v>
      </c>
      <c r="I2" s="6" t="s">
        <v>178</v>
      </c>
      <c r="J2" s="6" t="s">
        <v>171</v>
      </c>
      <c r="K2" s="7" t="s">
        <v>141</v>
      </c>
      <c r="L2" s="44" t="s">
        <v>167</v>
      </c>
    </row>
    <row r="3" spans="1:15" x14ac:dyDescent="0.25">
      <c r="A3" s="47" t="s">
        <v>5</v>
      </c>
      <c r="B3" s="5" t="s">
        <v>1</v>
      </c>
      <c r="C3" s="6" t="s">
        <v>137</v>
      </c>
      <c r="D3" s="24" t="s">
        <v>177</v>
      </c>
      <c r="E3" s="6" t="s">
        <v>27</v>
      </c>
      <c r="F3" s="6" t="s">
        <v>156</v>
      </c>
      <c r="G3" s="27">
        <v>0</v>
      </c>
      <c r="H3" s="6" t="s">
        <v>153</v>
      </c>
      <c r="I3" s="6" t="s">
        <v>178</v>
      </c>
      <c r="J3" s="6" t="s">
        <v>171</v>
      </c>
      <c r="K3" s="7" t="s">
        <v>141</v>
      </c>
      <c r="L3" s="44" t="s">
        <v>167</v>
      </c>
    </row>
    <row r="4" spans="1:15" x14ac:dyDescent="0.25">
      <c r="A4" s="46" t="s">
        <v>6</v>
      </c>
      <c r="B4" s="5" t="s">
        <v>1</v>
      </c>
      <c r="C4" s="6" t="s">
        <v>137</v>
      </c>
      <c r="D4" s="24" t="s">
        <v>177</v>
      </c>
      <c r="E4" s="6" t="s">
        <v>28</v>
      </c>
      <c r="F4" s="6" t="s">
        <v>29</v>
      </c>
      <c r="G4" s="27">
        <v>0.99670000000000003</v>
      </c>
      <c r="H4" s="6" t="s">
        <v>154</v>
      </c>
      <c r="I4" s="6" t="s">
        <v>178</v>
      </c>
      <c r="J4" s="6" t="s">
        <v>171</v>
      </c>
      <c r="K4" s="7" t="s">
        <v>141</v>
      </c>
      <c r="L4" s="44" t="s">
        <v>167</v>
      </c>
    </row>
    <row r="5" spans="1:15" x14ac:dyDescent="0.25">
      <c r="A5" s="47" t="s">
        <v>7</v>
      </c>
      <c r="B5" s="5" t="s">
        <v>1</v>
      </c>
      <c r="C5" s="6" t="s">
        <v>137</v>
      </c>
      <c r="D5" s="24" t="s">
        <v>177</v>
      </c>
      <c r="E5" s="6" t="s">
        <v>25</v>
      </c>
      <c r="F5" s="6" t="s">
        <v>30</v>
      </c>
      <c r="G5" s="27">
        <v>0.97860000000000003</v>
      </c>
      <c r="H5" s="6" t="s">
        <v>153</v>
      </c>
      <c r="I5" s="6" t="s">
        <v>178</v>
      </c>
      <c r="J5" s="6" t="s">
        <v>171</v>
      </c>
      <c r="K5" s="7" t="s">
        <v>141</v>
      </c>
      <c r="L5" s="44" t="s">
        <v>167</v>
      </c>
      <c r="N5"/>
      <c r="O5" s="31"/>
    </row>
    <row r="6" spans="1:15" x14ac:dyDescent="0.25">
      <c r="A6" s="46" t="s">
        <v>8</v>
      </c>
      <c r="B6" s="5" t="s">
        <v>1</v>
      </c>
      <c r="C6" s="6" t="s">
        <v>137</v>
      </c>
      <c r="D6" s="24" t="s">
        <v>177</v>
      </c>
      <c r="E6" s="6" t="s">
        <v>31</v>
      </c>
      <c r="F6" s="6" t="s">
        <v>30</v>
      </c>
      <c r="G6" s="27">
        <v>1.6500000000000001E-2</v>
      </c>
      <c r="H6" s="6" t="s">
        <v>153</v>
      </c>
      <c r="I6" s="6" t="s">
        <v>178</v>
      </c>
      <c r="J6" s="6" t="s">
        <v>171</v>
      </c>
      <c r="K6" s="7" t="s">
        <v>141</v>
      </c>
      <c r="L6" s="44" t="s">
        <v>167</v>
      </c>
      <c r="N6"/>
      <c r="O6" s="31"/>
    </row>
    <row r="7" spans="1:15" x14ac:dyDescent="0.25">
      <c r="A7" s="46" t="s">
        <v>180</v>
      </c>
      <c r="B7" s="5" t="s">
        <v>1</v>
      </c>
      <c r="C7" s="6" t="s">
        <v>137</v>
      </c>
      <c r="D7" s="24" t="s">
        <v>177</v>
      </c>
      <c r="E7" s="6"/>
      <c r="F7" s="6"/>
      <c r="G7" s="49"/>
      <c r="H7" s="6"/>
      <c r="I7" s="6" t="s">
        <v>178</v>
      </c>
      <c r="J7" s="6" t="s">
        <v>171</v>
      </c>
      <c r="K7" s="7" t="s">
        <v>141</v>
      </c>
      <c r="L7" s="44" t="s">
        <v>167</v>
      </c>
      <c r="N7"/>
      <c r="O7" s="31"/>
    </row>
    <row r="8" spans="1:15" x14ac:dyDescent="0.25">
      <c r="A8" s="47" t="s">
        <v>9</v>
      </c>
      <c r="B8" s="5" t="s">
        <v>1</v>
      </c>
      <c r="C8" s="6" t="s">
        <v>137</v>
      </c>
      <c r="D8" s="24" t="s">
        <v>177</v>
      </c>
      <c r="E8" s="6" t="s">
        <v>25</v>
      </c>
      <c r="F8" s="6" t="s">
        <v>32</v>
      </c>
      <c r="G8" s="27">
        <v>0.38669999999999999</v>
      </c>
      <c r="H8" s="6" t="s">
        <v>153</v>
      </c>
      <c r="I8" s="6" t="s">
        <v>178</v>
      </c>
      <c r="J8" s="6" t="s">
        <v>171</v>
      </c>
      <c r="K8" s="7" t="s">
        <v>141</v>
      </c>
      <c r="L8" s="44" t="s">
        <v>167</v>
      </c>
      <c r="N8"/>
      <c r="O8" s="31"/>
    </row>
    <row r="9" spans="1:15" x14ac:dyDescent="0.25">
      <c r="A9" s="46" t="s">
        <v>10</v>
      </c>
      <c r="B9" s="5" t="s">
        <v>1</v>
      </c>
      <c r="C9" s="6" t="s">
        <v>137</v>
      </c>
      <c r="D9" s="24" t="s">
        <v>177</v>
      </c>
      <c r="E9" s="6" t="s">
        <v>25</v>
      </c>
      <c r="F9" s="6" t="s">
        <v>32</v>
      </c>
      <c r="G9" s="27">
        <v>0.9899</v>
      </c>
      <c r="H9" s="6" t="s">
        <v>153</v>
      </c>
      <c r="I9" s="6" t="s">
        <v>178</v>
      </c>
      <c r="J9" s="6" t="s">
        <v>171</v>
      </c>
      <c r="K9" s="7" t="s">
        <v>141</v>
      </c>
      <c r="L9" s="44" t="s">
        <v>167</v>
      </c>
    </row>
    <row r="10" spans="1:15" x14ac:dyDescent="0.25">
      <c r="A10" s="47" t="s">
        <v>11</v>
      </c>
      <c r="B10" s="5" t="s">
        <v>1</v>
      </c>
      <c r="C10" s="6" t="s">
        <v>137</v>
      </c>
      <c r="D10" s="24" t="s">
        <v>177</v>
      </c>
      <c r="E10" s="6" t="s">
        <v>25</v>
      </c>
      <c r="F10" s="6" t="s">
        <v>33</v>
      </c>
      <c r="G10" s="27">
        <v>3.7699999999999997E-2</v>
      </c>
      <c r="H10" s="6" t="s">
        <v>153</v>
      </c>
      <c r="I10" s="6" t="s">
        <v>178</v>
      </c>
      <c r="J10" s="6" t="s">
        <v>171</v>
      </c>
      <c r="K10" s="7" t="s">
        <v>141</v>
      </c>
      <c r="L10" s="44" t="s">
        <v>167</v>
      </c>
    </row>
    <row r="11" spans="1:15" x14ac:dyDescent="0.25">
      <c r="A11" s="46" t="s">
        <v>12</v>
      </c>
      <c r="B11" s="5" t="s">
        <v>1</v>
      </c>
      <c r="C11" s="6" t="s">
        <v>137</v>
      </c>
      <c r="D11" s="24" t="s">
        <v>177</v>
      </c>
      <c r="E11" s="6" t="s">
        <v>34</v>
      </c>
      <c r="F11" s="6" t="s">
        <v>35</v>
      </c>
      <c r="G11" s="27">
        <v>0.88560000000000005</v>
      </c>
      <c r="H11" s="6" t="s">
        <v>153</v>
      </c>
      <c r="I11" s="6" t="s">
        <v>178</v>
      </c>
      <c r="J11" s="6" t="s">
        <v>171</v>
      </c>
      <c r="K11" s="7" t="s">
        <v>141</v>
      </c>
      <c r="L11" s="44" t="s">
        <v>167</v>
      </c>
    </row>
    <row r="12" spans="1:15" x14ac:dyDescent="0.25">
      <c r="A12" s="47" t="s">
        <v>13</v>
      </c>
      <c r="B12" s="5" t="s">
        <v>1</v>
      </c>
      <c r="C12" s="6" t="s">
        <v>137</v>
      </c>
      <c r="D12" s="24" t="s">
        <v>177</v>
      </c>
      <c r="E12" s="6" t="s">
        <v>25</v>
      </c>
      <c r="F12" s="6" t="s">
        <v>36</v>
      </c>
      <c r="G12" s="27">
        <v>0.53190000000000004</v>
      </c>
      <c r="H12" s="6" t="s">
        <v>153</v>
      </c>
      <c r="I12" s="6" t="s">
        <v>178</v>
      </c>
      <c r="J12" s="6" t="s">
        <v>171</v>
      </c>
      <c r="K12" s="7" t="s">
        <v>141</v>
      </c>
      <c r="L12" s="44" t="s">
        <v>167</v>
      </c>
    </row>
    <row r="13" spans="1:15" x14ac:dyDescent="0.25">
      <c r="A13" s="47" t="s">
        <v>182</v>
      </c>
      <c r="B13" s="5" t="s">
        <v>1</v>
      </c>
      <c r="C13" s="6" t="s">
        <v>137</v>
      </c>
      <c r="D13" s="24" t="s">
        <v>177</v>
      </c>
      <c r="E13" s="6"/>
      <c r="F13" s="6"/>
      <c r="G13" s="49"/>
      <c r="H13" s="6"/>
      <c r="I13" s="6" t="s">
        <v>178</v>
      </c>
      <c r="J13" s="6" t="s">
        <v>171</v>
      </c>
      <c r="K13" s="7" t="s">
        <v>141</v>
      </c>
      <c r="L13" s="44" t="s">
        <v>167</v>
      </c>
    </row>
    <row r="14" spans="1:15" x14ac:dyDescent="0.25">
      <c r="A14" s="46" t="s">
        <v>14</v>
      </c>
      <c r="B14" s="5" t="s">
        <v>1</v>
      </c>
      <c r="C14" s="6" t="s">
        <v>137</v>
      </c>
      <c r="D14" s="24" t="s">
        <v>177</v>
      </c>
      <c r="E14" s="6" t="s">
        <v>37</v>
      </c>
      <c r="F14" s="6" t="s">
        <v>122</v>
      </c>
      <c r="G14" s="27">
        <v>0.1074</v>
      </c>
      <c r="H14" s="6" t="s">
        <v>153</v>
      </c>
      <c r="I14" s="6" t="s">
        <v>178</v>
      </c>
      <c r="J14" s="6" t="s">
        <v>171</v>
      </c>
      <c r="K14" s="7" t="s">
        <v>141</v>
      </c>
      <c r="L14" s="44" t="s">
        <v>167</v>
      </c>
    </row>
    <row r="15" spans="1:15" x14ac:dyDescent="0.25">
      <c r="A15" s="46" t="s">
        <v>181</v>
      </c>
      <c r="B15" s="5" t="s">
        <v>1</v>
      </c>
      <c r="C15" s="6" t="s">
        <v>137</v>
      </c>
      <c r="D15" s="24" t="s">
        <v>177</v>
      </c>
      <c r="E15" s="6"/>
      <c r="F15" s="6"/>
      <c r="G15" s="49"/>
      <c r="H15" s="6"/>
      <c r="I15" s="6" t="s">
        <v>178</v>
      </c>
      <c r="J15" s="6" t="s">
        <v>171</v>
      </c>
      <c r="K15" s="7" t="s">
        <v>141</v>
      </c>
      <c r="L15" s="44" t="s">
        <v>167</v>
      </c>
    </row>
    <row r="16" spans="1:15" x14ac:dyDescent="0.25">
      <c r="A16" s="47" t="s">
        <v>107</v>
      </c>
      <c r="B16" s="5" t="s">
        <v>1</v>
      </c>
      <c r="C16" s="6" t="s">
        <v>137</v>
      </c>
      <c r="D16" s="24" t="s">
        <v>177</v>
      </c>
      <c r="E16" s="6" t="s">
        <v>106</v>
      </c>
      <c r="F16" s="6" t="s">
        <v>135</v>
      </c>
      <c r="G16" s="27">
        <v>0.54500000000000004</v>
      </c>
      <c r="H16" s="6" t="s">
        <v>153</v>
      </c>
      <c r="I16" s="6" t="s">
        <v>178</v>
      </c>
      <c r="J16" s="6" t="s">
        <v>171</v>
      </c>
      <c r="K16" s="7" t="s">
        <v>141</v>
      </c>
      <c r="L16" s="44" t="s">
        <v>167</v>
      </c>
    </row>
    <row r="17" spans="1:12" x14ac:dyDescent="0.25">
      <c r="A17" s="47" t="s">
        <v>179</v>
      </c>
      <c r="B17" s="5" t="s">
        <v>1</v>
      </c>
      <c r="C17" s="6" t="s">
        <v>137</v>
      </c>
      <c r="D17" s="24" t="s">
        <v>177</v>
      </c>
      <c r="E17" s="6"/>
      <c r="F17" s="6"/>
      <c r="G17" s="49"/>
      <c r="H17" s="6"/>
      <c r="I17" s="6" t="s">
        <v>178</v>
      </c>
      <c r="J17" s="6" t="s">
        <v>171</v>
      </c>
      <c r="K17" s="7" t="s">
        <v>141</v>
      </c>
      <c r="L17" s="44" t="s">
        <v>167</v>
      </c>
    </row>
    <row r="18" spans="1:12" x14ac:dyDescent="0.25">
      <c r="A18" s="46" t="s">
        <v>93</v>
      </c>
      <c r="B18" s="5" t="s">
        <v>1</v>
      </c>
      <c r="C18" s="6" t="s">
        <v>137</v>
      </c>
      <c r="D18" s="24" t="s">
        <v>177</v>
      </c>
      <c r="E18" s="6" t="s">
        <v>37</v>
      </c>
      <c r="F18" s="6" t="s">
        <v>98</v>
      </c>
      <c r="G18" s="27">
        <v>0.64100000000000001</v>
      </c>
      <c r="H18" s="6" t="s">
        <v>155</v>
      </c>
      <c r="I18" s="6" t="s">
        <v>178</v>
      </c>
      <c r="J18" s="6" t="s">
        <v>171</v>
      </c>
      <c r="K18" s="7" t="s">
        <v>141</v>
      </c>
      <c r="L18" s="44" t="s">
        <v>167</v>
      </c>
    </row>
    <row r="19" spans="1:12" x14ac:dyDescent="0.25">
      <c r="A19" s="38" t="s">
        <v>94</v>
      </c>
      <c r="B19" s="5" t="s">
        <v>137</v>
      </c>
      <c r="C19" s="6" t="s">
        <v>1</v>
      </c>
      <c r="D19" s="6" t="s">
        <v>174</v>
      </c>
      <c r="E19" s="6" t="s">
        <v>39</v>
      </c>
      <c r="F19" s="6" t="s">
        <v>99</v>
      </c>
      <c r="G19" s="27">
        <v>0.71809999999999996</v>
      </c>
      <c r="H19" s="6" t="s">
        <v>153</v>
      </c>
      <c r="I19" s="6" t="s">
        <v>144</v>
      </c>
      <c r="J19" s="6" t="s">
        <v>171</v>
      </c>
      <c r="K19" s="7" t="s">
        <v>141</v>
      </c>
      <c r="L19" s="44" t="s">
        <v>167</v>
      </c>
    </row>
    <row r="20" spans="1:12" x14ac:dyDescent="0.25">
      <c r="A20" s="37" t="s">
        <v>95</v>
      </c>
      <c r="B20" s="5" t="s">
        <v>137</v>
      </c>
      <c r="C20" s="6" t="s">
        <v>1</v>
      </c>
      <c r="D20" s="24" t="s">
        <v>175</v>
      </c>
      <c r="E20" s="6" t="s">
        <v>100</v>
      </c>
      <c r="F20" s="6" t="s">
        <v>101</v>
      </c>
      <c r="G20" s="27">
        <v>0.62</v>
      </c>
      <c r="H20" s="6" t="s">
        <v>153</v>
      </c>
      <c r="I20" s="6" t="s">
        <v>144</v>
      </c>
      <c r="J20" s="6" t="s">
        <v>171</v>
      </c>
      <c r="K20" s="7" t="s">
        <v>141</v>
      </c>
      <c r="L20" s="44" t="s">
        <v>167</v>
      </c>
    </row>
    <row r="21" spans="1:12" x14ac:dyDescent="0.25">
      <c r="A21" s="38" t="s">
        <v>96</v>
      </c>
      <c r="B21" s="5" t="s">
        <v>137</v>
      </c>
      <c r="C21" s="6" t="s">
        <v>1</v>
      </c>
      <c r="D21" s="24" t="s">
        <v>174</v>
      </c>
      <c r="E21" s="6" t="s">
        <v>39</v>
      </c>
      <c r="F21" s="6" t="s">
        <v>102</v>
      </c>
      <c r="G21" s="27">
        <v>0.2321</v>
      </c>
      <c r="H21" s="6" t="s">
        <v>153</v>
      </c>
      <c r="I21" s="6" t="s">
        <v>144</v>
      </c>
      <c r="J21" s="6" t="s">
        <v>171</v>
      </c>
      <c r="K21" s="7" t="s">
        <v>141</v>
      </c>
      <c r="L21" s="44" t="s">
        <v>167</v>
      </c>
    </row>
    <row r="22" spans="1:12" x14ac:dyDescent="0.25">
      <c r="A22" s="46" t="s">
        <v>15</v>
      </c>
      <c r="B22" s="5" t="s">
        <v>137</v>
      </c>
      <c r="C22" s="6" t="s">
        <v>1</v>
      </c>
      <c r="D22" s="24" t="s">
        <v>174</v>
      </c>
      <c r="E22" s="6" t="s">
        <v>27</v>
      </c>
      <c r="F22" s="6" t="s">
        <v>30</v>
      </c>
      <c r="G22" s="27">
        <v>1</v>
      </c>
      <c r="H22" s="6" t="s">
        <v>154</v>
      </c>
      <c r="I22" s="6" t="s">
        <v>144</v>
      </c>
      <c r="J22" s="7" t="s">
        <v>171</v>
      </c>
      <c r="K22" s="6" t="s">
        <v>141</v>
      </c>
      <c r="L22" s="44" t="s">
        <v>167</v>
      </c>
    </row>
    <row r="23" spans="1:12" x14ac:dyDescent="0.25">
      <c r="A23" s="47" t="s">
        <v>17</v>
      </c>
      <c r="B23" s="5" t="s">
        <v>137</v>
      </c>
      <c r="C23" s="6" t="s">
        <v>1</v>
      </c>
      <c r="D23" s="24" t="s">
        <v>174</v>
      </c>
      <c r="E23" s="6" t="s">
        <v>39</v>
      </c>
      <c r="F23" s="6" t="s">
        <v>40</v>
      </c>
      <c r="G23" s="27">
        <v>0</v>
      </c>
      <c r="H23" s="6" t="s">
        <v>153</v>
      </c>
      <c r="I23" s="6" t="s">
        <v>144</v>
      </c>
      <c r="J23" s="6" t="s">
        <v>171</v>
      </c>
      <c r="K23" s="7" t="s">
        <v>141</v>
      </c>
      <c r="L23" s="44" t="s">
        <v>167</v>
      </c>
    </row>
    <row r="24" spans="1:12" x14ac:dyDescent="0.25">
      <c r="A24" s="46" t="s">
        <v>18</v>
      </c>
      <c r="B24" s="5" t="s">
        <v>137</v>
      </c>
      <c r="C24" s="6" t="s">
        <v>1</v>
      </c>
      <c r="D24" s="24" t="s">
        <v>174</v>
      </c>
      <c r="E24" s="6" t="s">
        <v>28</v>
      </c>
      <c r="F24" s="6" t="s">
        <v>41</v>
      </c>
      <c r="G24" s="27">
        <v>0.78049999999999997</v>
      </c>
      <c r="H24" s="6" t="s">
        <v>153</v>
      </c>
      <c r="I24" s="6" t="s">
        <v>144</v>
      </c>
      <c r="J24" s="6" t="s">
        <v>171</v>
      </c>
      <c r="K24" s="7" t="s">
        <v>141</v>
      </c>
      <c r="L24" s="44" t="s">
        <v>167</v>
      </c>
    </row>
    <row r="25" spans="1:12" x14ac:dyDescent="0.25">
      <c r="A25" s="46" t="s">
        <v>176</v>
      </c>
      <c r="B25" s="5" t="s">
        <v>137</v>
      </c>
      <c r="C25" s="6" t="s">
        <v>1</v>
      </c>
      <c r="D25" s="24" t="s">
        <v>174</v>
      </c>
      <c r="E25" s="6"/>
      <c r="F25" s="6"/>
      <c r="G25" s="49"/>
      <c r="H25" s="6"/>
      <c r="I25" s="6" t="s">
        <v>144</v>
      </c>
      <c r="J25" s="6" t="s">
        <v>171</v>
      </c>
      <c r="K25" s="7" t="s">
        <v>141</v>
      </c>
      <c r="L25" s="44" t="s">
        <v>167</v>
      </c>
    </row>
    <row r="26" spans="1:12" x14ac:dyDescent="0.25">
      <c r="A26" s="47" t="s">
        <v>118</v>
      </c>
      <c r="B26" s="5" t="s">
        <v>137</v>
      </c>
      <c r="C26" s="6" t="s">
        <v>1</v>
      </c>
      <c r="D26" s="24" t="s">
        <v>174</v>
      </c>
      <c r="E26" s="6" t="s">
        <v>100</v>
      </c>
      <c r="F26" s="6" t="s">
        <v>119</v>
      </c>
      <c r="G26" s="26">
        <v>0.5</v>
      </c>
      <c r="H26" s="6" t="s">
        <v>153</v>
      </c>
      <c r="I26" s="6" t="s">
        <v>144</v>
      </c>
      <c r="J26" s="6" t="s">
        <v>171</v>
      </c>
      <c r="K26" s="7" t="s">
        <v>141</v>
      </c>
      <c r="L26" s="44" t="s">
        <v>167</v>
      </c>
    </row>
    <row r="27" spans="1:12" x14ac:dyDescent="0.25">
      <c r="A27" s="46" t="s">
        <v>115</v>
      </c>
      <c r="B27" s="5" t="s">
        <v>137</v>
      </c>
      <c r="C27" s="6" t="s">
        <v>1</v>
      </c>
      <c r="D27" s="24" t="s">
        <v>174</v>
      </c>
      <c r="E27" s="6" t="s">
        <v>43</v>
      </c>
      <c r="F27" s="6" t="s">
        <v>114</v>
      </c>
      <c r="G27" s="27">
        <v>1</v>
      </c>
      <c r="H27" s="6" t="s">
        <v>154</v>
      </c>
      <c r="I27" s="6" t="s">
        <v>144</v>
      </c>
      <c r="J27" s="6" t="s">
        <v>171</v>
      </c>
      <c r="K27" s="7" t="s">
        <v>141</v>
      </c>
      <c r="L27" s="44" t="s">
        <v>167</v>
      </c>
    </row>
    <row r="28" spans="1:12" x14ac:dyDescent="0.25">
      <c r="A28" s="47" t="s">
        <v>19</v>
      </c>
      <c r="B28" s="5" t="s">
        <v>137</v>
      </c>
      <c r="C28" s="6" t="s">
        <v>1</v>
      </c>
      <c r="D28" s="24" t="s">
        <v>174</v>
      </c>
      <c r="E28" s="6" t="s">
        <v>28</v>
      </c>
      <c r="F28" s="6" t="s">
        <v>42</v>
      </c>
      <c r="G28" s="27">
        <v>0.7903</v>
      </c>
      <c r="H28" s="6" t="s">
        <v>153</v>
      </c>
      <c r="I28" s="6" t="s">
        <v>144</v>
      </c>
      <c r="J28" s="6" t="s">
        <v>171</v>
      </c>
      <c r="K28" s="7" t="s">
        <v>141</v>
      </c>
      <c r="L28" s="44" t="s">
        <v>167</v>
      </c>
    </row>
    <row r="29" spans="1:12" x14ac:dyDescent="0.25">
      <c r="A29" s="46" t="s">
        <v>20</v>
      </c>
      <c r="B29" s="5" t="s">
        <v>137</v>
      </c>
      <c r="C29" s="6" t="s">
        <v>1</v>
      </c>
      <c r="D29" s="24" t="s">
        <v>174</v>
      </c>
      <c r="E29" s="6" t="s">
        <v>43</v>
      </c>
      <c r="F29" s="6" t="s">
        <v>44</v>
      </c>
      <c r="G29" s="27">
        <v>0.78090000000000004</v>
      </c>
      <c r="H29" s="6" t="s">
        <v>153</v>
      </c>
      <c r="I29" s="6" t="s">
        <v>144</v>
      </c>
      <c r="J29" s="7" t="s">
        <v>171</v>
      </c>
      <c r="K29" s="7" t="s">
        <v>141</v>
      </c>
      <c r="L29" s="44" t="s">
        <v>167</v>
      </c>
    </row>
    <row r="30" spans="1:12" x14ac:dyDescent="0.25">
      <c r="A30" s="47" t="s">
        <v>108</v>
      </c>
      <c r="B30" s="5" t="s">
        <v>137</v>
      </c>
      <c r="C30" s="6" t="s">
        <v>1</v>
      </c>
      <c r="D30" s="24" t="s">
        <v>177</v>
      </c>
      <c r="E30" s="6" t="s">
        <v>106</v>
      </c>
      <c r="F30" s="6" t="s">
        <v>30</v>
      </c>
      <c r="G30" s="27">
        <v>0.66039999999999999</v>
      </c>
      <c r="H30" s="6" t="s">
        <v>153</v>
      </c>
      <c r="I30" s="6" t="s">
        <v>178</v>
      </c>
      <c r="J30" s="7" t="s">
        <v>171</v>
      </c>
      <c r="K30" s="7" t="s">
        <v>141</v>
      </c>
      <c r="L30" s="44" t="s">
        <v>167</v>
      </c>
    </row>
    <row r="31" spans="1:12" x14ac:dyDescent="0.25">
      <c r="A31" s="46" t="s">
        <v>21</v>
      </c>
      <c r="B31" s="5" t="s">
        <v>137</v>
      </c>
      <c r="C31" s="6" t="s">
        <v>1</v>
      </c>
      <c r="D31" s="24" t="s">
        <v>174</v>
      </c>
      <c r="E31" s="6" t="s">
        <v>45</v>
      </c>
      <c r="F31" s="6" t="s">
        <v>46</v>
      </c>
      <c r="G31" s="27">
        <v>0.86519999999999997</v>
      </c>
      <c r="H31" s="6" t="s">
        <v>155</v>
      </c>
      <c r="I31" s="6" t="s">
        <v>144</v>
      </c>
      <c r="J31" s="6" t="s">
        <v>171</v>
      </c>
      <c r="K31" s="7" t="s">
        <v>141</v>
      </c>
      <c r="L31" s="44" t="s">
        <v>167</v>
      </c>
    </row>
    <row r="32" spans="1:12" x14ac:dyDescent="0.25">
      <c r="A32" s="46" t="s">
        <v>172</v>
      </c>
      <c r="B32" s="5" t="s">
        <v>137</v>
      </c>
      <c r="C32" s="6" t="s">
        <v>1</v>
      </c>
      <c r="D32" s="24" t="s">
        <v>174</v>
      </c>
      <c r="E32" s="6" t="s">
        <v>37</v>
      </c>
      <c r="F32" s="6" t="s">
        <v>173</v>
      </c>
      <c r="G32" s="27">
        <v>0.97040000000000004</v>
      </c>
      <c r="H32" s="6" t="s">
        <v>153</v>
      </c>
      <c r="I32" s="6" t="s">
        <v>144</v>
      </c>
      <c r="J32" s="7" t="s">
        <v>171</v>
      </c>
      <c r="K32" s="6" t="s">
        <v>141</v>
      </c>
      <c r="L32" s="44" t="s">
        <v>167</v>
      </c>
    </row>
    <row r="33" spans="1:16" x14ac:dyDescent="0.25">
      <c r="A33" s="47" t="s">
        <v>22</v>
      </c>
      <c r="B33" s="5" t="s">
        <v>137</v>
      </c>
      <c r="C33" s="6" t="s">
        <v>1</v>
      </c>
      <c r="D33" s="24" t="s">
        <v>174</v>
      </c>
      <c r="E33" s="6" t="s">
        <v>28</v>
      </c>
      <c r="F33" s="6" t="s">
        <v>47</v>
      </c>
      <c r="G33" s="27">
        <v>0.69730000000000003</v>
      </c>
      <c r="H33" s="6" t="s">
        <v>153</v>
      </c>
      <c r="I33" s="6" t="s">
        <v>144</v>
      </c>
      <c r="J33" s="6" t="s">
        <v>171</v>
      </c>
      <c r="K33" s="7" t="s">
        <v>141</v>
      </c>
      <c r="L33" s="44" t="s">
        <v>167</v>
      </c>
    </row>
    <row r="34" spans="1:16" x14ac:dyDescent="0.25">
      <c r="B34" s="8" t="s">
        <v>69</v>
      </c>
      <c r="C34" s="9"/>
      <c r="D34" s="12"/>
      <c r="E34" s="9"/>
      <c r="F34" s="10">
        <f>SUBTOTAL(103,Tabela1[FISCAL NOMEADO])</f>
        <v>32</v>
      </c>
      <c r="G34" s="10"/>
      <c r="H34" s="10"/>
      <c r="I34" s="9"/>
      <c r="J34" s="9"/>
      <c r="K34" s="11"/>
      <c r="L34" s="9"/>
      <c r="N34"/>
      <c r="O34" s="31"/>
      <c r="P34" s="31"/>
    </row>
    <row r="35" spans="1:16" ht="12.75" customHeight="1" x14ac:dyDescent="0.25">
      <c r="B35" s="6" t="s">
        <v>1</v>
      </c>
      <c r="C35" s="13">
        <f>COUNTIF(Tabela1[GESTOR(A)
ATUANTE],B35)</f>
        <v>17</v>
      </c>
      <c r="H35"/>
      <c r="I35"/>
      <c r="J35"/>
      <c r="K35"/>
      <c r="L35"/>
      <c r="N35"/>
    </row>
    <row r="36" spans="1:16" x14ac:dyDescent="0.25">
      <c r="B36" s="6" t="s">
        <v>137</v>
      </c>
      <c r="C36" s="13">
        <f>COUNTIF(Tabela1[GESTOR(A)
ATUANTE],B36)</f>
        <v>15</v>
      </c>
      <c r="H36"/>
      <c r="I36"/>
      <c r="J36"/>
      <c r="K36"/>
      <c r="L36"/>
      <c r="N36"/>
    </row>
    <row r="37" spans="1:16" x14ac:dyDescent="0.25">
      <c r="C37" s="19"/>
      <c r="H37"/>
      <c r="I37"/>
      <c r="J37"/>
      <c r="K37"/>
      <c r="L37"/>
      <c r="N37"/>
    </row>
    <row r="38" spans="1:16" x14ac:dyDescent="0.25">
      <c r="A38" s="18" t="s">
        <v>3</v>
      </c>
      <c r="B38" s="18" t="s">
        <v>0</v>
      </c>
      <c r="C38" s="18" t="s">
        <v>128</v>
      </c>
      <c r="D38" s="18" t="s">
        <v>2</v>
      </c>
      <c r="E38" s="18" t="s">
        <v>23</v>
      </c>
      <c r="F38" s="18" t="s">
        <v>24</v>
      </c>
      <c r="G38" s="18" t="s">
        <v>151</v>
      </c>
      <c r="H38" s="18" t="s">
        <v>152</v>
      </c>
      <c r="I38" s="18" t="s">
        <v>129</v>
      </c>
      <c r="J38" s="18" t="s">
        <v>130</v>
      </c>
      <c r="K38" s="18" t="s">
        <v>131</v>
      </c>
      <c r="L38" s="2" t="s">
        <v>168</v>
      </c>
    </row>
    <row r="39" spans="1:16" x14ac:dyDescent="0.25">
      <c r="A39" s="37" t="s">
        <v>109</v>
      </c>
      <c r="B39" s="6" t="s">
        <v>1</v>
      </c>
      <c r="C39" s="6" t="s">
        <v>70</v>
      </c>
      <c r="D39" s="6" t="s">
        <v>147</v>
      </c>
      <c r="E39" s="6" t="s">
        <v>82</v>
      </c>
      <c r="F39" s="6" t="s">
        <v>30</v>
      </c>
      <c r="G39" s="27">
        <v>1</v>
      </c>
      <c r="H39" s="6" t="s">
        <v>154</v>
      </c>
      <c r="I39" s="6" t="s">
        <v>142</v>
      </c>
      <c r="J39" s="6" t="s">
        <v>132</v>
      </c>
      <c r="K39" s="6" t="s">
        <v>141</v>
      </c>
      <c r="L39" s="43" t="s">
        <v>169</v>
      </c>
    </row>
    <row r="40" spans="1:16" x14ac:dyDescent="0.25">
      <c r="A40" s="47" t="s">
        <v>71</v>
      </c>
      <c r="B40" s="6" t="s">
        <v>70</v>
      </c>
      <c r="C40" s="6" t="s">
        <v>139</v>
      </c>
      <c r="D40" s="6" t="s">
        <v>147</v>
      </c>
      <c r="E40" s="6" t="s">
        <v>82</v>
      </c>
      <c r="F40" s="6" t="s">
        <v>36</v>
      </c>
      <c r="G40" s="27">
        <v>0.5746</v>
      </c>
      <c r="H40" s="6" t="s">
        <v>153</v>
      </c>
      <c r="I40" s="6" t="s">
        <v>183</v>
      </c>
      <c r="J40" s="6" t="s">
        <v>141</v>
      </c>
      <c r="K40" s="6" t="s">
        <v>171</v>
      </c>
      <c r="L40" s="43" t="s">
        <v>169</v>
      </c>
    </row>
    <row r="41" spans="1:16" x14ac:dyDescent="0.25">
      <c r="A41" s="46" t="s">
        <v>72</v>
      </c>
      <c r="B41" s="6" t="s">
        <v>70</v>
      </c>
      <c r="C41" s="6" t="s">
        <v>139</v>
      </c>
      <c r="D41" s="6" t="s">
        <v>147</v>
      </c>
      <c r="E41" s="6" t="s">
        <v>82</v>
      </c>
      <c r="F41" s="6" t="s">
        <v>134</v>
      </c>
      <c r="G41" s="27">
        <v>0.84570000000000001</v>
      </c>
      <c r="H41" s="6" t="s">
        <v>153</v>
      </c>
      <c r="I41" s="6" t="s">
        <v>183</v>
      </c>
      <c r="J41" s="6" t="s">
        <v>141</v>
      </c>
      <c r="K41" s="6" t="s">
        <v>171</v>
      </c>
      <c r="L41" s="43" t="s">
        <v>169</v>
      </c>
    </row>
    <row r="42" spans="1:16" x14ac:dyDescent="0.25">
      <c r="A42" s="47" t="s">
        <v>73</v>
      </c>
      <c r="B42" s="6" t="s">
        <v>70</v>
      </c>
      <c r="C42" s="6" t="s">
        <v>139</v>
      </c>
      <c r="D42" s="6" t="s">
        <v>147</v>
      </c>
      <c r="E42" s="6" t="s">
        <v>83</v>
      </c>
      <c r="F42" s="6" t="s">
        <v>46</v>
      </c>
      <c r="G42" s="27">
        <v>0.99929999999999997</v>
      </c>
      <c r="H42" s="6" t="s">
        <v>154</v>
      </c>
      <c r="I42" s="6" t="s">
        <v>183</v>
      </c>
      <c r="J42" s="6" t="s">
        <v>141</v>
      </c>
      <c r="K42" s="6" t="s">
        <v>171</v>
      </c>
      <c r="L42" s="43" t="s">
        <v>169</v>
      </c>
    </row>
    <row r="43" spans="1:16" x14ac:dyDescent="0.25">
      <c r="A43" s="46" t="s">
        <v>74</v>
      </c>
      <c r="B43" s="6" t="s">
        <v>70</v>
      </c>
      <c r="C43" s="6" t="s">
        <v>139</v>
      </c>
      <c r="D43" s="6" t="s">
        <v>147</v>
      </c>
      <c r="E43" s="6" t="s">
        <v>83</v>
      </c>
      <c r="F43" s="6" t="s">
        <v>46</v>
      </c>
      <c r="G43" s="27">
        <v>0.79930000000000001</v>
      </c>
      <c r="H43" s="6" t="s">
        <v>153</v>
      </c>
      <c r="I43" s="6" t="s">
        <v>183</v>
      </c>
      <c r="J43" s="6" t="s">
        <v>141</v>
      </c>
      <c r="K43" s="6" t="s">
        <v>171</v>
      </c>
      <c r="L43" s="43" t="s">
        <v>169</v>
      </c>
    </row>
    <row r="44" spans="1:16" x14ac:dyDescent="0.25">
      <c r="A44" s="47" t="s">
        <v>75</v>
      </c>
      <c r="B44" s="6" t="s">
        <v>70</v>
      </c>
      <c r="C44" s="6" t="s">
        <v>139</v>
      </c>
      <c r="D44" s="6" t="s">
        <v>147</v>
      </c>
      <c r="E44" s="6" t="s">
        <v>84</v>
      </c>
      <c r="F44" s="6" t="s">
        <v>85</v>
      </c>
      <c r="G44" s="27">
        <v>0.30669999999999997</v>
      </c>
      <c r="H44" s="6" t="s">
        <v>153</v>
      </c>
      <c r="I44" s="6" t="s">
        <v>183</v>
      </c>
      <c r="J44" s="6" t="s">
        <v>141</v>
      </c>
      <c r="K44" s="6" t="s">
        <v>171</v>
      </c>
      <c r="L44" s="43" t="s">
        <v>169</v>
      </c>
    </row>
    <row r="45" spans="1:16" x14ac:dyDescent="0.25">
      <c r="A45" s="46" t="s">
        <v>76</v>
      </c>
      <c r="B45" s="6" t="s">
        <v>70</v>
      </c>
      <c r="C45" s="6" t="s">
        <v>139</v>
      </c>
      <c r="D45" s="6" t="s">
        <v>147</v>
      </c>
      <c r="E45" s="6" t="s">
        <v>84</v>
      </c>
      <c r="F45" s="6" t="s">
        <v>86</v>
      </c>
      <c r="G45" s="27">
        <v>0.96009999999999995</v>
      </c>
      <c r="H45" s="6" t="s">
        <v>153</v>
      </c>
      <c r="I45" s="6" t="s">
        <v>183</v>
      </c>
      <c r="J45" s="6" t="s">
        <v>141</v>
      </c>
      <c r="K45" s="6" t="s">
        <v>171</v>
      </c>
      <c r="L45" s="43" t="s">
        <v>169</v>
      </c>
    </row>
    <row r="46" spans="1:16" x14ac:dyDescent="0.25">
      <c r="A46" s="46" t="s">
        <v>162</v>
      </c>
      <c r="B46" s="45" t="s">
        <v>70</v>
      </c>
      <c r="C46" s="20" t="s">
        <v>139</v>
      </c>
      <c r="D46" s="6" t="s">
        <v>147</v>
      </c>
      <c r="E46" s="6" t="s">
        <v>163</v>
      </c>
      <c r="F46" s="6" t="s">
        <v>164</v>
      </c>
      <c r="G46" s="42">
        <v>0</v>
      </c>
      <c r="H46" s="6" t="s">
        <v>153</v>
      </c>
      <c r="I46" s="6" t="s">
        <v>183</v>
      </c>
      <c r="J46" s="6" t="s">
        <v>141</v>
      </c>
      <c r="K46" s="6" t="s">
        <v>171</v>
      </c>
      <c r="L46" s="43" t="s">
        <v>169</v>
      </c>
    </row>
    <row r="47" spans="1:16" x14ac:dyDescent="0.25">
      <c r="A47" s="47" t="s">
        <v>112</v>
      </c>
      <c r="B47" s="6" t="s">
        <v>70</v>
      </c>
      <c r="C47" s="6" t="s">
        <v>139</v>
      </c>
      <c r="D47" s="6" t="s">
        <v>147</v>
      </c>
      <c r="E47" s="6" t="s">
        <v>82</v>
      </c>
      <c r="F47" s="6" t="s">
        <v>113</v>
      </c>
      <c r="G47" s="27">
        <v>1.5408999999999999</v>
      </c>
      <c r="H47" s="6" t="s">
        <v>154</v>
      </c>
      <c r="I47" s="6" t="s">
        <v>183</v>
      </c>
      <c r="J47" s="6" t="s">
        <v>141</v>
      </c>
      <c r="K47" s="6" t="s">
        <v>171</v>
      </c>
      <c r="L47" s="43" t="s">
        <v>169</v>
      </c>
    </row>
    <row r="48" spans="1:16" x14ac:dyDescent="0.25">
      <c r="A48" s="46" t="s">
        <v>77</v>
      </c>
      <c r="B48" s="6" t="s">
        <v>70</v>
      </c>
      <c r="C48" s="6" t="s">
        <v>139</v>
      </c>
      <c r="D48" s="6" t="s">
        <v>147</v>
      </c>
      <c r="E48" s="6" t="s">
        <v>84</v>
      </c>
      <c r="F48" s="6" t="s">
        <v>87</v>
      </c>
      <c r="G48" s="27">
        <v>0.78459999999999996</v>
      </c>
      <c r="H48" s="6" t="s">
        <v>153</v>
      </c>
      <c r="I48" s="6" t="s">
        <v>183</v>
      </c>
      <c r="J48" s="6" t="s">
        <v>141</v>
      </c>
      <c r="K48" s="6" t="s">
        <v>171</v>
      </c>
      <c r="L48" s="43" t="s">
        <v>169</v>
      </c>
    </row>
    <row r="49" spans="1:16" x14ac:dyDescent="0.25">
      <c r="A49" s="47" t="s">
        <v>110</v>
      </c>
      <c r="B49" s="6" t="s">
        <v>70</v>
      </c>
      <c r="C49" s="6" t="s">
        <v>139</v>
      </c>
      <c r="D49" s="6" t="s">
        <v>147</v>
      </c>
      <c r="E49" s="6" t="s">
        <v>84</v>
      </c>
      <c r="F49" s="6" t="s">
        <v>111</v>
      </c>
      <c r="G49" s="27">
        <v>1</v>
      </c>
      <c r="H49" s="6" t="s">
        <v>154</v>
      </c>
      <c r="I49" s="6" t="s">
        <v>183</v>
      </c>
      <c r="J49" s="6" t="s">
        <v>141</v>
      </c>
      <c r="K49" s="6" t="s">
        <v>171</v>
      </c>
      <c r="L49" s="43" t="s">
        <v>169</v>
      </c>
    </row>
    <row r="50" spans="1:16" x14ac:dyDescent="0.25">
      <c r="A50" s="46" t="s">
        <v>78</v>
      </c>
      <c r="B50" s="6" t="s">
        <v>70</v>
      </c>
      <c r="C50" s="6" t="s">
        <v>139</v>
      </c>
      <c r="D50" s="6" t="s">
        <v>147</v>
      </c>
      <c r="E50" s="6" t="s">
        <v>88</v>
      </c>
      <c r="F50" s="6" t="s">
        <v>136</v>
      </c>
      <c r="G50" s="27">
        <v>0.89959999999999996</v>
      </c>
      <c r="H50" s="6" t="s">
        <v>153</v>
      </c>
      <c r="I50" s="6" t="s">
        <v>183</v>
      </c>
      <c r="J50" s="6" t="s">
        <v>141</v>
      </c>
      <c r="K50" s="6" t="s">
        <v>171</v>
      </c>
      <c r="L50" s="43" t="s">
        <v>169</v>
      </c>
      <c r="N50" s="51" t="s">
        <v>157</v>
      </c>
      <c r="O50" s="51"/>
    </row>
    <row r="51" spans="1:16" x14ac:dyDescent="0.25">
      <c r="A51" s="47" t="s">
        <v>79</v>
      </c>
      <c r="B51" s="6" t="s">
        <v>70</v>
      </c>
      <c r="C51" s="6" t="s">
        <v>139</v>
      </c>
      <c r="D51" s="6" t="s">
        <v>147</v>
      </c>
      <c r="E51" s="6" t="s">
        <v>82</v>
      </c>
      <c r="F51" s="6" t="s">
        <v>36</v>
      </c>
      <c r="G51" s="27">
        <v>0.97130000000000005</v>
      </c>
      <c r="H51" s="6" t="s">
        <v>153</v>
      </c>
      <c r="I51" s="6" t="s">
        <v>183</v>
      </c>
      <c r="J51" s="6" t="s">
        <v>141</v>
      </c>
      <c r="K51" s="6" t="s">
        <v>171</v>
      </c>
      <c r="L51" s="43" t="s">
        <v>169</v>
      </c>
      <c r="N51" s="21" t="s">
        <v>1</v>
      </c>
      <c r="O51" s="33">
        <f>COUNTIF(Tabela1[GESTOR(A)
ATUANTE],N51)+COUNTIF(Tabela2[GESTOR(A)
ATUANTE],N51)+COUNTIF(Tabela3[GESTOR(A)
ATUANTE],N51)</f>
        <v>18</v>
      </c>
    </row>
    <row r="52" spans="1:16" x14ac:dyDescent="0.25">
      <c r="A52" s="46" t="s">
        <v>127</v>
      </c>
      <c r="B52" s="6" t="s">
        <v>70</v>
      </c>
      <c r="C52" s="6" t="s">
        <v>139</v>
      </c>
      <c r="D52" s="6" t="s">
        <v>147</v>
      </c>
      <c r="E52" s="6" t="s">
        <v>116</v>
      </c>
      <c r="F52" s="6" t="s">
        <v>117</v>
      </c>
      <c r="G52" s="27">
        <v>0.80789999999999995</v>
      </c>
      <c r="H52" s="6" t="s">
        <v>154</v>
      </c>
      <c r="I52" s="6" t="s">
        <v>183</v>
      </c>
      <c r="J52" s="6" t="s">
        <v>141</v>
      </c>
      <c r="K52" s="6" t="s">
        <v>171</v>
      </c>
      <c r="L52" s="43" t="s">
        <v>169</v>
      </c>
      <c r="N52" s="21" t="s">
        <v>137</v>
      </c>
      <c r="O52" s="33">
        <f>COUNTIF(Tabela1[GESTOR(A)
ATUANTE],N52)+COUNTIF(Tabela2[GESTOR(A)
ATUANTE],N52)+COUNTIF(Tabela3[GESTOR(A)
ATUANTE],N52)</f>
        <v>17</v>
      </c>
    </row>
    <row r="53" spans="1:16" x14ac:dyDescent="0.25">
      <c r="A53" s="47" t="s">
        <v>80</v>
      </c>
      <c r="B53" s="6" t="s">
        <v>70</v>
      </c>
      <c r="C53" s="6" t="s">
        <v>139</v>
      </c>
      <c r="D53" s="6" t="s">
        <v>147</v>
      </c>
      <c r="E53" s="6" t="s">
        <v>89</v>
      </c>
      <c r="F53" s="6" t="s">
        <v>90</v>
      </c>
      <c r="G53" s="27">
        <v>0.60799999999999998</v>
      </c>
      <c r="H53" s="6" t="s">
        <v>155</v>
      </c>
      <c r="I53" s="6" t="s">
        <v>183</v>
      </c>
      <c r="J53" s="6" t="s">
        <v>141</v>
      </c>
      <c r="K53" s="6" t="s">
        <v>171</v>
      </c>
      <c r="L53" s="43" t="s">
        <v>169</v>
      </c>
      <c r="N53" s="21" t="s">
        <v>139</v>
      </c>
      <c r="O53" s="33">
        <f>COUNTIF(Tabela1[GESTOR(A)
ATUANTE],N53)+COUNTIF(Tabela2[GESTOR(A)
ATUANTE],N53)+COUNTIF(Tabela3[GESTOR(A)
ATUANTE],N53)</f>
        <v>7</v>
      </c>
    </row>
    <row r="54" spans="1:16" x14ac:dyDescent="0.25">
      <c r="A54" s="46" t="s">
        <v>81</v>
      </c>
      <c r="B54" s="6" t="s">
        <v>70</v>
      </c>
      <c r="C54" s="6" t="s">
        <v>139</v>
      </c>
      <c r="D54" s="6" t="s">
        <v>147</v>
      </c>
      <c r="E54" s="6" t="s">
        <v>91</v>
      </c>
      <c r="F54" s="6" t="s">
        <v>92</v>
      </c>
      <c r="G54" s="27">
        <v>0.14130000000000001</v>
      </c>
      <c r="H54" s="6" t="s">
        <v>153</v>
      </c>
      <c r="I54" s="6" t="s">
        <v>183</v>
      </c>
      <c r="J54" s="6" t="s">
        <v>141</v>
      </c>
      <c r="K54" s="6" t="s">
        <v>171</v>
      </c>
      <c r="L54" s="43" t="s">
        <v>169</v>
      </c>
      <c r="N54" s="21" t="s">
        <v>70</v>
      </c>
      <c r="O54" s="33">
        <f>COUNTIF(Tabela1[GESTOR(A)
ATUANTE],N54)+COUNTIF(Tabela2[GESTOR(A)
ATUANTE],N54)+COUNTIF(Tabela3[GESTOR(A)
ATUANTE],N54)</f>
        <v>15</v>
      </c>
    </row>
    <row r="55" spans="1:16" x14ac:dyDescent="0.25">
      <c r="B55" s="25" t="s">
        <v>69</v>
      </c>
      <c r="C55" s="25"/>
      <c r="D55" s="9"/>
      <c r="E55" s="9"/>
      <c r="F55" s="10">
        <f>SUBTOTAL(103,Tabela3[EMPRESA])</f>
        <v>16</v>
      </c>
      <c r="G55" s="10"/>
      <c r="H55" s="10"/>
      <c r="I55" s="9"/>
      <c r="J55" s="9"/>
      <c r="K55" s="9"/>
      <c r="L55" s="9"/>
      <c r="N55" s="21" t="s">
        <v>138</v>
      </c>
      <c r="O55" s="33">
        <f>COUNTIF(Tabela1[GESTOR(A)
ATUANTE],N55)+COUNTIF(Tabela2[GESTOR(A)
ATUANTE],N55)+COUNTIF(Tabela3[GESTOR(A)
ATUANTE],N55)</f>
        <v>5</v>
      </c>
    </row>
    <row r="56" spans="1:16" x14ac:dyDescent="0.25">
      <c r="B56" s="6" t="s">
        <v>1</v>
      </c>
      <c r="C56" s="13">
        <f>COUNTIF(Tabela3[GESTOR(A)
ATUANTE],B56)</f>
        <v>1</v>
      </c>
      <c r="G56" s="4"/>
      <c r="N56" s="30"/>
    </row>
    <row r="57" spans="1:16" x14ac:dyDescent="0.25">
      <c r="B57" s="6" t="s">
        <v>70</v>
      </c>
      <c r="C57" s="13">
        <f>COUNTIF(Tabela3[GESTOR(A)
ATUANTE],B57)</f>
        <v>15</v>
      </c>
      <c r="G57" s="4"/>
      <c r="N57" s="30"/>
    </row>
    <row r="58" spans="1:16" ht="4.5" customHeight="1" x14ac:dyDescent="0.25">
      <c r="D58" s="19"/>
      <c r="G58" s="4"/>
      <c r="N58" s="30"/>
    </row>
    <row r="59" spans="1:16" ht="24" x14ac:dyDescent="0.25">
      <c r="A59"/>
      <c r="B59"/>
      <c r="C59"/>
      <c r="D59"/>
      <c r="E59"/>
      <c r="F59"/>
      <c r="H59"/>
      <c r="I59"/>
      <c r="J59"/>
      <c r="K59"/>
      <c r="L59" s="32"/>
      <c r="N59" s="50" t="s">
        <v>160</v>
      </c>
      <c r="O59" s="50"/>
      <c r="P59" s="34"/>
    </row>
    <row r="60" spans="1:16" x14ac:dyDescent="0.25">
      <c r="A60" s="18" t="s">
        <v>3</v>
      </c>
      <c r="B60" s="1" t="s">
        <v>0</v>
      </c>
      <c r="C60" s="1" t="s">
        <v>128</v>
      </c>
      <c r="D60" s="2" t="s">
        <v>2</v>
      </c>
      <c r="E60" s="2" t="s">
        <v>23</v>
      </c>
      <c r="F60" s="18" t="s">
        <v>24</v>
      </c>
      <c r="G60" s="2" t="s">
        <v>151</v>
      </c>
      <c r="H60" s="2" t="s">
        <v>152</v>
      </c>
      <c r="I60" s="18" t="s">
        <v>129</v>
      </c>
      <c r="J60" s="18" t="s">
        <v>130</v>
      </c>
      <c r="K60" s="18" t="s">
        <v>131</v>
      </c>
      <c r="L60" s="2" t="s">
        <v>168</v>
      </c>
      <c r="N60" s="21" t="s">
        <v>183</v>
      </c>
      <c r="O60" s="36" cm="1">
        <f t="array" ref="O60">SUMPRODUCT(IF(ISERROR(FIND(N60, $D$2:$D$74)), 0, 1))</f>
        <v>18</v>
      </c>
      <c r="P60" s="31"/>
    </row>
    <row r="61" spans="1:16" x14ac:dyDescent="0.25">
      <c r="A61" s="39" t="s">
        <v>48</v>
      </c>
      <c r="B61" s="20" t="s">
        <v>139</v>
      </c>
      <c r="C61" s="6" t="s">
        <v>1</v>
      </c>
      <c r="D61" s="21" t="s">
        <v>149</v>
      </c>
      <c r="E61" s="21" t="s">
        <v>56</v>
      </c>
      <c r="F61" s="21" t="s">
        <v>57</v>
      </c>
      <c r="G61" s="28">
        <v>0.6603</v>
      </c>
      <c r="H61" s="25" t="s">
        <v>153</v>
      </c>
      <c r="I61" s="6" t="s">
        <v>145</v>
      </c>
      <c r="J61" s="6" t="s">
        <v>132</v>
      </c>
      <c r="K61" s="6" t="s">
        <v>141</v>
      </c>
      <c r="L61" s="43" t="s">
        <v>170</v>
      </c>
      <c r="N61" s="35" t="s">
        <v>159</v>
      </c>
      <c r="O61" s="36" cm="1">
        <f t="array" ref="O61">SUMPRODUCT(IF(ISERROR(FIND(N61, $D$2:$D$74)), 0, 1))</f>
        <v>11</v>
      </c>
      <c r="P61" s="31"/>
    </row>
    <row r="62" spans="1:16" x14ac:dyDescent="0.25">
      <c r="A62" s="40" t="s">
        <v>49</v>
      </c>
      <c r="B62" s="20" t="s">
        <v>139</v>
      </c>
      <c r="C62" s="6" t="s">
        <v>1</v>
      </c>
      <c r="D62" s="21" t="s">
        <v>149</v>
      </c>
      <c r="E62" s="21" t="s">
        <v>56</v>
      </c>
      <c r="F62" s="21" t="s">
        <v>58</v>
      </c>
      <c r="G62" s="28">
        <v>0.51629999999999998</v>
      </c>
      <c r="H62" s="21" t="s">
        <v>153</v>
      </c>
      <c r="I62" s="6" t="s">
        <v>145</v>
      </c>
      <c r="J62" s="6" t="s">
        <v>132</v>
      </c>
      <c r="K62" s="6" t="s">
        <v>132</v>
      </c>
      <c r="L62" s="43" t="s">
        <v>170</v>
      </c>
      <c r="N62" s="35" t="s">
        <v>142</v>
      </c>
      <c r="O62" s="36" cm="1">
        <f t="array" ref="O62">SUMPRODUCT(IF(ISERROR(FIND(N62, $D$2:$D$74)), 0, 1))</f>
        <v>0</v>
      </c>
      <c r="P62" s="31"/>
    </row>
    <row r="63" spans="1:16" x14ac:dyDescent="0.25">
      <c r="A63" s="39" t="s">
        <v>123</v>
      </c>
      <c r="B63" s="20" t="s">
        <v>139</v>
      </c>
      <c r="C63" s="6" t="s">
        <v>1</v>
      </c>
      <c r="D63" s="21" t="s">
        <v>146</v>
      </c>
      <c r="E63" s="21" t="s">
        <v>124</v>
      </c>
      <c r="F63" s="21" t="s">
        <v>114</v>
      </c>
      <c r="G63" s="28">
        <v>0.99219999999999997</v>
      </c>
      <c r="H63" s="21" t="s">
        <v>154</v>
      </c>
      <c r="I63" s="6" t="s">
        <v>145</v>
      </c>
      <c r="J63" s="6" t="s">
        <v>132</v>
      </c>
      <c r="K63" s="6" t="s">
        <v>132</v>
      </c>
      <c r="L63" s="43" t="s">
        <v>170</v>
      </c>
      <c r="N63" s="6" t="s">
        <v>165</v>
      </c>
      <c r="O63" s="36" cm="1">
        <f t="array" ref="O63">SUMPRODUCT(IF(ISERROR(FIND(N63, $D$2:$D$74)), 0, 1))</f>
        <v>16</v>
      </c>
      <c r="P63" s="31"/>
    </row>
    <row r="64" spans="1:16" x14ac:dyDescent="0.25">
      <c r="A64" s="40" t="s">
        <v>125</v>
      </c>
      <c r="B64" s="20" t="s">
        <v>139</v>
      </c>
      <c r="C64" s="6" t="s">
        <v>1</v>
      </c>
      <c r="D64" s="21" t="s">
        <v>149</v>
      </c>
      <c r="E64" s="21" t="s">
        <v>56</v>
      </c>
      <c r="F64" s="21" t="s">
        <v>126</v>
      </c>
      <c r="G64" s="28">
        <v>0.99539999999999995</v>
      </c>
      <c r="H64" s="21" t="s">
        <v>154</v>
      </c>
      <c r="I64" s="6" t="s">
        <v>145</v>
      </c>
      <c r="J64" s="6" t="s">
        <v>132</v>
      </c>
      <c r="K64" s="6" t="s">
        <v>132</v>
      </c>
      <c r="L64" s="43" t="s">
        <v>170</v>
      </c>
      <c r="N64" s="35" t="s">
        <v>139</v>
      </c>
      <c r="O64" s="36" cm="1">
        <f t="array" ref="O64">SUMPRODUCT(IF(ISERROR(FIND(N64, $D$2:$D$74)), 0, 1))</f>
        <v>5</v>
      </c>
      <c r="P64" s="31"/>
    </row>
    <row r="65" spans="1:16" x14ac:dyDescent="0.25">
      <c r="A65" s="39" t="s">
        <v>50</v>
      </c>
      <c r="B65" s="20" t="s">
        <v>139</v>
      </c>
      <c r="C65" s="6" t="s">
        <v>1</v>
      </c>
      <c r="D65" s="21" t="s">
        <v>149</v>
      </c>
      <c r="E65" s="21" t="s">
        <v>56</v>
      </c>
      <c r="F65" s="21" t="s">
        <v>59</v>
      </c>
      <c r="G65" s="28">
        <v>0.43519999999999998</v>
      </c>
      <c r="H65" s="21" t="s">
        <v>153</v>
      </c>
      <c r="I65" s="6" t="s">
        <v>145</v>
      </c>
      <c r="J65" s="6" t="s">
        <v>132</v>
      </c>
      <c r="K65" s="6" t="s">
        <v>132</v>
      </c>
      <c r="L65" s="43" t="s">
        <v>170</v>
      </c>
      <c r="N65" s="35" t="s">
        <v>138</v>
      </c>
      <c r="O65" s="36" cm="1">
        <f t="array" ref="O65">SUMPRODUCT(IF(ISERROR(FIND(N65, $D$2:$D$74)), 0, 1))</f>
        <v>6</v>
      </c>
      <c r="P65" s="31"/>
    </row>
    <row r="66" spans="1:16" x14ac:dyDescent="0.25">
      <c r="A66" s="40" t="s">
        <v>51</v>
      </c>
      <c r="B66" s="5" t="s">
        <v>139</v>
      </c>
      <c r="C66" s="6" t="s">
        <v>1</v>
      </c>
      <c r="D66" s="21" t="s">
        <v>149</v>
      </c>
      <c r="E66" s="6" t="s">
        <v>60</v>
      </c>
      <c r="F66" s="21" t="s">
        <v>61</v>
      </c>
      <c r="G66" s="28">
        <v>0.5958</v>
      </c>
      <c r="H66" s="21" t="s">
        <v>153</v>
      </c>
      <c r="I66" s="6" t="s">
        <v>145</v>
      </c>
      <c r="J66" s="6" t="s">
        <v>132</v>
      </c>
      <c r="K66" s="6" t="s">
        <v>132</v>
      </c>
      <c r="L66" s="43" t="s">
        <v>170</v>
      </c>
      <c r="N66" s="35" t="s">
        <v>158</v>
      </c>
      <c r="O66" s="36" cm="1">
        <f t="array" ref="O66">SUMPRODUCT(IF(ISERROR(FIND(N66, $D$2:$D$74)), 0, 1))</f>
        <v>16</v>
      </c>
      <c r="P66" s="31"/>
    </row>
    <row r="67" spans="1:16" x14ac:dyDescent="0.25">
      <c r="A67" s="39" t="s">
        <v>52</v>
      </c>
      <c r="B67" s="5" t="s">
        <v>139</v>
      </c>
      <c r="C67" s="6" t="s">
        <v>1</v>
      </c>
      <c r="D67" s="21" t="s">
        <v>149</v>
      </c>
      <c r="E67" s="6" t="s">
        <v>62</v>
      </c>
      <c r="F67" s="21" t="s">
        <v>63</v>
      </c>
      <c r="G67" s="28">
        <v>0.84209999999999996</v>
      </c>
      <c r="H67" s="21" t="s">
        <v>153</v>
      </c>
      <c r="I67" s="6" t="s">
        <v>145</v>
      </c>
      <c r="J67" s="6" t="s">
        <v>132</v>
      </c>
      <c r="K67" s="6" t="s">
        <v>132</v>
      </c>
      <c r="L67" s="43" t="s">
        <v>170</v>
      </c>
      <c r="N67" s="35" t="s">
        <v>145</v>
      </c>
      <c r="O67" s="36" cm="1">
        <f t="array" ref="O67">SUMPRODUCT(IF(ISERROR(FIND(N67, $D$2:$D$74)), 0, 1))</f>
        <v>17</v>
      </c>
      <c r="P67" s="31"/>
    </row>
    <row r="68" spans="1:16" x14ac:dyDescent="0.25">
      <c r="A68" s="41" t="s">
        <v>97</v>
      </c>
      <c r="B68" s="16" t="s">
        <v>138</v>
      </c>
      <c r="C68" s="17" t="s">
        <v>137</v>
      </c>
      <c r="D68" s="15" t="s">
        <v>150</v>
      </c>
      <c r="E68" s="15" t="s">
        <v>103</v>
      </c>
      <c r="F68" s="22" t="s">
        <v>140</v>
      </c>
      <c r="G68" s="29">
        <v>0</v>
      </c>
      <c r="H68" s="22" t="s">
        <v>153</v>
      </c>
      <c r="I68" s="15" t="s">
        <v>148</v>
      </c>
      <c r="J68" s="15" t="str">
        <f t="shared" ref="J68:J74" si="0">UPPER("REJANE VASCONCELOS")</f>
        <v>REJANE VASCONCELOS</v>
      </c>
      <c r="K68" s="15" t="s">
        <v>132</v>
      </c>
      <c r="L68" s="43" t="s">
        <v>170</v>
      </c>
      <c r="N68" s="21" t="s">
        <v>143</v>
      </c>
      <c r="O68" s="36" cm="1">
        <f t="array" ref="O68">SUMPRODUCT(IF(ISERROR(FIND(N68, $D$2:$D$74)), 0, 1))</f>
        <v>1</v>
      </c>
      <c r="P68" s="31"/>
    </row>
    <row r="69" spans="1:16" x14ac:dyDescent="0.25">
      <c r="A69" s="48" t="s">
        <v>16</v>
      </c>
      <c r="B69" s="8" t="s">
        <v>137</v>
      </c>
      <c r="C69" s="5" t="s">
        <v>1</v>
      </c>
      <c r="D69" s="24" t="s">
        <v>174</v>
      </c>
      <c r="E69" s="6" t="s">
        <v>38</v>
      </c>
      <c r="F69" s="21" t="s">
        <v>30</v>
      </c>
      <c r="G69" s="28">
        <v>0.85919999999999996</v>
      </c>
      <c r="H69" s="21" t="s">
        <v>153</v>
      </c>
      <c r="I69" s="6" t="s">
        <v>144</v>
      </c>
      <c r="J69" s="6" t="s">
        <v>171</v>
      </c>
      <c r="K69" s="7" t="s">
        <v>141</v>
      </c>
      <c r="L69" s="43" t="s">
        <v>170</v>
      </c>
      <c r="N69" s="21" t="s">
        <v>161</v>
      </c>
      <c r="O69" s="36" cm="1">
        <f t="array" ref="O69">SUMPRODUCT(IF(ISERROR(FIND(N69, $D$2:$D$74)), 0, 1))</f>
        <v>0</v>
      </c>
      <c r="P69" s="31"/>
    </row>
    <row r="70" spans="1:16" x14ac:dyDescent="0.25">
      <c r="A70" s="48" t="s">
        <v>104</v>
      </c>
      <c r="B70" s="8" t="s">
        <v>137</v>
      </c>
      <c r="C70" s="5" t="s">
        <v>1</v>
      </c>
      <c r="D70" s="24" t="s">
        <v>174</v>
      </c>
      <c r="E70" s="6" t="str">
        <f>UPPER("Miguel Pereira")</f>
        <v>MIGUEL PEREIRA</v>
      </c>
      <c r="F70" s="21" t="s">
        <v>105</v>
      </c>
      <c r="G70" s="28">
        <v>7.0000000000000007E-2</v>
      </c>
      <c r="H70" s="21" t="s">
        <v>153</v>
      </c>
      <c r="I70" s="6" t="s">
        <v>144</v>
      </c>
      <c r="J70" s="6" t="s">
        <v>171</v>
      </c>
      <c r="K70" s="7" t="s">
        <v>141</v>
      </c>
      <c r="L70" s="43" t="s">
        <v>170</v>
      </c>
      <c r="N70" s="21" t="s">
        <v>144</v>
      </c>
      <c r="O70" s="36" cm="1">
        <f t="array" ref="O70">SUMPRODUCT(IF(ISERROR(FIND(N70, $D$2:$D$74)), 0, 1))</f>
        <v>18</v>
      </c>
      <c r="P70" s="31"/>
    </row>
    <row r="71" spans="1:16" x14ac:dyDescent="0.25">
      <c r="A71" s="39" t="s">
        <v>53</v>
      </c>
      <c r="B71" s="5" t="s">
        <v>138</v>
      </c>
      <c r="C71" s="8" t="s">
        <v>137</v>
      </c>
      <c r="D71" s="6" t="s">
        <v>150</v>
      </c>
      <c r="E71" s="6" t="s">
        <v>64</v>
      </c>
      <c r="F71" s="21" t="s">
        <v>133</v>
      </c>
      <c r="G71" s="28">
        <v>0.87860000000000005</v>
      </c>
      <c r="H71" s="21" t="s">
        <v>153</v>
      </c>
      <c r="I71" s="21" t="s">
        <v>148</v>
      </c>
      <c r="J71" s="6" t="str">
        <f t="shared" si="0"/>
        <v>REJANE VASCONCELOS</v>
      </c>
      <c r="K71" s="6" t="s">
        <v>132</v>
      </c>
      <c r="L71" s="43" t="s">
        <v>170</v>
      </c>
      <c r="N71"/>
      <c r="O71" s="31"/>
      <c r="P71" s="31"/>
    </row>
    <row r="72" spans="1:16" x14ac:dyDescent="0.25">
      <c r="A72" s="40" t="s">
        <v>120</v>
      </c>
      <c r="B72" s="5" t="s">
        <v>138</v>
      </c>
      <c r="C72" s="8" t="s">
        <v>137</v>
      </c>
      <c r="D72" s="6" t="s">
        <v>150</v>
      </c>
      <c r="E72" s="6" t="s">
        <v>121</v>
      </c>
      <c r="F72" s="21" t="s">
        <v>122</v>
      </c>
      <c r="G72" s="28">
        <v>0</v>
      </c>
      <c r="H72" s="21" t="s">
        <v>153</v>
      </c>
      <c r="I72" s="21" t="s">
        <v>148</v>
      </c>
      <c r="J72" s="6" t="str">
        <f t="shared" si="0"/>
        <v>REJANE VASCONCELOS</v>
      </c>
      <c r="K72" s="6" t="s">
        <v>132</v>
      </c>
      <c r="L72" s="43" t="s">
        <v>170</v>
      </c>
      <c r="N72"/>
    </row>
    <row r="73" spans="1:16" x14ac:dyDescent="0.25">
      <c r="A73" s="39" t="s">
        <v>54</v>
      </c>
      <c r="B73" s="5" t="s">
        <v>138</v>
      </c>
      <c r="C73" s="8" t="s">
        <v>137</v>
      </c>
      <c r="D73" s="6" t="s">
        <v>150</v>
      </c>
      <c r="E73" s="6" t="s">
        <v>65</v>
      </c>
      <c r="F73" s="21" t="s">
        <v>66</v>
      </c>
      <c r="G73" s="28">
        <v>0.97019999999999995</v>
      </c>
      <c r="H73" s="21" t="s">
        <v>153</v>
      </c>
      <c r="I73" s="21" t="s">
        <v>148</v>
      </c>
      <c r="J73" s="6" t="str">
        <f t="shared" si="0"/>
        <v>REJANE VASCONCELOS</v>
      </c>
      <c r="K73" s="6" t="s">
        <v>132</v>
      </c>
      <c r="L73" s="43" t="s">
        <v>170</v>
      </c>
      <c r="N73"/>
    </row>
    <row r="74" spans="1:16" x14ac:dyDescent="0.25">
      <c r="A74" s="40" t="s">
        <v>55</v>
      </c>
      <c r="B74" s="8" t="s">
        <v>138</v>
      </c>
      <c r="C74" s="8" t="s">
        <v>137</v>
      </c>
      <c r="D74" s="9" t="s">
        <v>150</v>
      </c>
      <c r="E74" s="9" t="s">
        <v>67</v>
      </c>
      <c r="F74" s="21" t="s">
        <v>68</v>
      </c>
      <c r="G74" s="28">
        <v>0.31530000000000002</v>
      </c>
      <c r="H74" s="21" t="s">
        <v>153</v>
      </c>
      <c r="I74" s="21" t="s">
        <v>148</v>
      </c>
      <c r="J74" s="6" t="str">
        <f t="shared" si="0"/>
        <v>REJANE VASCONCELOS</v>
      </c>
      <c r="K74" s="6" t="s">
        <v>132</v>
      </c>
      <c r="L74" s="43" t="s">
        <v>170</v>
      </c>
      <c r="N74"/>
    </row>
    <row r="75" spans="1:16" x14ac:dyDescent="0.25">
      <c r="A75" s="23"/>
      <c r="B75" s="8" t="s">
        <v>69</v>
      </c>
      <c r="C75" s="8"/>
      <c r="D75" s="9"/>
      <c r="E75" s="9"/>
      <c r="F75" s="14">
        <f>SUBTOTAL(103,Tabela2[EMPRESA])</f>
        <v>14</v>
      </c>
      <c r="G75" s="14"/>
      <c r="H75" s="14"/>
      <c r="I75" s="9"/>
      <c r="J75" s="9"/>
      <c r="K75" s="9"/>
      <c r="L75" s="9"/>
      <c r="N75"/>
    </row>
    <row r="76" spans="1:16" x14ac:dyDescent="0.25">
      <c r="B76" s="6" t="s">
        <v>139</v>
      </c>
      <c r="C76" s="13">
        <f>COUNTIF(Tabela2[GESTOR(A)
ATUANTE],B76)</f>
        <v>7</v>
      </c>
      <c r="O76" s="31"/>
    </row>
    <row r="77" spans="1:16" x14ac:dyDescent="0.25">
      <c r="B77" s="6" t="s">
        <v>138</v>
      </c>
      <c r="C77" s="13">
        <f>COUNTIF(Tabela2[GESTOR(A)
ATUANTE],B77)</f>
        <v>5</v>
      </c>
      <c r="O77" s="31"/>
    </row>
    <row r="78" spans="1:16" x14ac:dyDescent="0.25">
      <c r="O78" s="31"/>
    </row>
    <row r="79" spans="1:16" x14ac:dyDescent="0.25">
      <c r="B79"/>
      <c r="C79"/>
      <c r="D79"/>
      <c r="E79"/>
      <c r="F79"/>
      <c r="O79" s="31"/>
    </row>
    <row r="80" spans="1:16" x14ac:dyDescent="0.25">
      <c r="D80" s="23"/>
      <c r="E80"/>
      <c r="F80"/>
      <c r="O80" s="31"/>
    </row>
    <row r="81" spans="2:15" x14ac:dyDescent="0.25">
      <c r="E81"/>
      <c r="F81"/>
      <c r="O81" s="31"/>
    </row>
    <row r="82" spans="2:15" x14ac:dyDescent="0.25">
      <c r="E82"/>
      <c r="F82"/>
      <c r="O82" s="31"/>
    </row>
    <row r="83" spans="2:15" x14ac:dyDescent="0.25">
      <c r="E83"/>
      <c r="F83"/>
      <c r="O83" s="31"/>
    </row>
    <row r="84" spans="2:15" x14ac:dyDescent="0.25">
      <c r="E84"/>
      <c r="F84"/>
      <c r="O84" s="31"/>
    </row>
    <row r="85" spans="2:15" x14ac:dyDescent="0.25">
      <c r="G85" s="4"/>
      <c r="O85" s="31"/>
    </row>
    <row r="86" spans="2:15" x14ac:dyDescent="0.25">
      <c r="B86"/>
      <c r="C86"/>
      <c r="D86"/>
      <c r="G86" s="4"/>
      <c r="O86" s="31"/>
    </row>
    <row r="87" spans="2:15" x14ac:dyDescent="0.25">
      <c r="B87"/>
      <c r="C87"/>
      <c r="D87"/>
      <c r="G87" s="4"/>
      <c r="O87" s="31"/>
    </row>
    <row r="88" spans="2:15" x14ac:dyDescent="0.25">
      <c r="G88" s="4"/>
      <c r="O88" s="31"/>
    </row>
    <row r="89" spans="2:15" x14ac:dyDescent="0.25">
      <c r="G89" s="4"/>
      <c r="O89" s="31"/>
    </row>
    <row r="90" spans="2:15" x14ac:dyDescent="0.25">
      <c r="G90" s="4"/>
      <c r="O90" s="31"/>
    </row>
    <row r="91" spans="2:15" x14ac:dyDescent="0.25">
      <c r="E91"/>
      <c r="F91"/>
      <c r="O91" s="31"/>
    </row>
    <row r="95" spans="2:15" x14ac:dyDescent="0.25">
      <c r="H95"/>
      <c r="I95"/>
    </row>
    <row r="96" spans="2:15" x14ac:dyDescent="0.25">
      <c r="H96"/>
      <c r="I96"/>
    </row>
    <row r="97" spans="8:9" x14ac:dyDescent="0.25">
      <c r="H97"/>
      <c r="I97"/>
    </row>
    <row r="98" spans="8:9" x14ac:dyDescent="0.25">
      <c r="H98"/>
      <c r="I98"/>
    </row>
    <row r="99" spans="8:9" x14ac:dyDescent="0.25">
      <c r="H99"/>
      <c r="I99"/>
    </row>
    <row r="100" spans="8:9" x14ac:dyDescent="0.25">
      <c r="H100"/>
      <c r="I100"/>
    </row>
    <row r="101" spans="8:9" x14ac:dyDescent="0.25">
      <c r="H101"/>
      <c r="I101"/>
    </row>
    <row r="102" spans="8:9" x14ac:dyDescent="0.25">
      <c r="H102"/>
      <c r="I102"/>
    </row>
  </sheetData>
  <autoFilter ref="A1:A33" xr:uid="{4F61397C-D407-419C-9BDA-C160B3F745EF}"/>
  <sortState xmlns:xlrd2="http://schemas.microsoft.com/office/spreadsheetml/2017/richdata2" ref="N60:O70">
    <sortCondition ref="N60:N70"/>
  </sortState>
  <mergeCells count="2">
    <mergeCell ref="N59:O59"/>
    <mergeCell ref="N50:O50"/>
  </mergeCells>
  <phoneticPr fontId="4" type="noConversion"/>
  <printOptions horizontalCentered="1" verticalCentered="1"/>
  <pageMargins left="0.15748031496062992" right="0.15748031496062992" top="0.15748031496062992" bottom="0.15748031496062992" header="0.15748031496062992" footer="0.15748031496062992"/>
  <pageSetup paperSize="8" scale="75" orientation="landscape" r:id="rId1"/>
  <headerFooter>
    <oddFooter>Página &amp;P de &amp;N</oddFooter>
  </headerFooter>
  <ignoredErrors>
    <ignoredError sqref="K61:K69 K71:K74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cp:lastPrinted>2026-02-11T12:51:56Z</cp:lastPrinted>
  <dcterms:created xsi:type="dcterms:W3CDTF">2026-02-04T18:48:21Z</dcterms:created>
  <dcterms:modified xsi:type="dcterms:W3CDTF">2026-03-26T20:49:29Z</dcterms:modified>
</cp:coreProperties>
</file>