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APRENDIZADO APP\MEDICOES\"/>
    </mc:Choice>
  </mc:AlternateContent>
  <xr:revisionPtr revIDLastSave="0" documentId="13_ncr:1_{88BC49D8-30B8-4930-84CC-31AD6CF13773}" xr6:coauthVersionLast="47" xr6:coauthVersionMax="47" xr10:uidLastSave="{00000000-0000-0000-0000-000000000000}"/>
  <bookViews>
    <workbookView xWindow="-120" yWindow="-120" windowWidth="29040" windowHeight="15720" tabRatio="498" activeTab="2" xr2:uid="{8E7E61FA-AA35-49DA-A0A0-B5261C3AB08E}"/>
  </bookViews>
  <sheets>
    <sheet name="BAIXADA" sheetId="1" r:id="rId1"/>
    <sheet name="NORTE" sheetId="2" r:id="rId2"/>
    <sheet name="SUL" sheetId="3" r:id="rId3"/>
    <sheet name="CONTIGENCIA" sheetId="10" r:id="rId4"/>
    <sheet name="ESPECIAIS" sheetId="5" r:id="rId5"/>
    <sheet name="AUXILIAR" sheetId="4" r:id="rId6"/>
  </sheets>
  <definedNames>
    <definedName name="_xlcn.WorksheetConnection_COMISSÕESPORREGIAO.xlsxTabela111" hidden="1">Tabela11</definedName>
    <definedName name="_xlcn.WorksheetConnection_COMISSÕESPORREGIAO.xlsxTabela141" hidden="1">Tabela14</definedName>
    <definedName name="_xlcn.WorksheetConnection_COMISSÕESPORREGIAO.xlsxTabela61" hidden="1">Tabela6</definedName>
    <definedName name="_xlnm.Print_Area" localSheetId="0">BAIXADA!$B$1:$G$52</definedName>
    <definedName name="_xlnm.Print_Area" localSheetId="1">NORTE!$B$1:$G$23</definedName>
    <definedName name="_xlnm.Print_Area" localSheetId="2">SUL!$B$1:$F$32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6" name="Tabela6" connection="WorksheetConnection_COMISSÕES POR REGIAO.xlsx!Tabela6"/>
          <x15:modelTable id="Tabela11" name="Tabela11" connection="WorksheetConnection_COMISSÕES POR REGIAO.xlsx!Tabela11"/>
          <x15:modelTable id="Tabela14" name="Tabela14" connection="WorksheetConnection_COMISSÕES POR REGIAO.xlsx!Tabela14"/>
        </x15:modelTables>
        <x15:modelRelationships>
          <x15:modelRelationship fromTable="Tabela11" fromColumn="Fiscal" toTable="Tabela14" toColumn="Fisc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0" i="4" l="1"/>
  <c r="F130" i="4"/>
  <c r="B130" i="4"/>
  <c r="C130" i="4" l="1"/>
  <c r="E129" i="4" l="1"/>
  <c r="F129" i="4"/>
  <c r="E128" i="4"/>
  <c r="F128" i="4"/>
  <c r="E127" i="4"/>
  <c r="F127" i="4"/>
  <c r="B3" i="4"/>
  <c r="B28" i="4"/>
  <c r="B125" i="4"/>
  <c r="B77" i="4"/>
  <c r="B116" i="4"/>
  <c r="B69" i="4"/>
  <c r="B40" i="4"/>
  <c r="B44" i="4"/>
  <c r="B18" i="4"/>
  <c r="B102" i="4"/>
  <c r="B30" i="4"/>
  <c r="B101" i="4"/>
  <c r="B84" i="4"/>
  <c r="B88" i="4"/>
  <c r="B121" i="4"/>
  <c r="B92" i="4"/>
  <c r="B27" i="4"/>
  <c r="B95" i="4"/>
  <c r="B43" i="4"/>
  <c r="B10" i="4"/>
  <c r="B91" i="4"/>
  <c r="B82" i="4"/>
  <c r="B36" i="4"/>
  <c r="B108" i="4"/>
  <c r="B118" i="4"/>
  <c r="B98" i="4"/>
  <c r="B86" i="4"/>
  <c r="B26" i="4"/>
  <c r="B100" i="4"/>
  <c r="B4" i="4"/>
  <c r="B46" i="4"/>
  <c r="B78" i="4"/>
  <c r="B107" i="4"/>
  <c r="B75" i="4"/>
  <c r="B8" i="4"/>
  <c r="B63" i="4"/>
  <c r="B19" i="4"/>
  <c r="B105" i="4"/>
  <c r="B29" i="4"/>
  <c r="B124" i="4"/>
  <c r="B13" i="4"/>
  <c r="B83" i="4"/>
  <c r="B59" i="4"/>
  <c r="B54" i="4"/>
  <c r="B50" i="4"/>
  <c r="B9" i="4"/>
  <c r="B47" i="4"/>
  <c r="B31" i="4"/>
  <c r="B72" i="4"/>
  <c r="B87" i="4"/>
  <c r="B79" i="4"/>
  <c r="B70" i="4"/>
  <c r="B33" i="4"/>
  <c r="B113" i="4"/>
  <c r="B17" i="4"/>
  <c r="B7" i="4"/>
  <c r="B51" i="4"/>
  <c r="B14" i="4"/>
  <c r="B128" i="4"/>
  <c r="B22" i="4"/>
  <c r="B25" i="4"/>
  <c r="B64" i="4"/>
  <c r="B12" i="4"/>
  <c r="B62" i="4"/>
  <c r="B35" i="4"/>
  <c r="B94" i="4"/>
  <c r="B90" i="4"/>
  <c r="B106" i="4"/>
  <c r="B110" i="4"/>
  <c r="B120" i="4"/>
  <c r="B68" i="4"/>
  <c r="B109" i="4"/>
  <c r="B104" i="4"/>
  <c r="B39" i="4"/>
  <c r="B119" i="4"/>
  <c r="B61" i="4"/>
  <c r="B56" i="4"/>
  <c r="B66" i="4"/>
  <c r="B117" i="4"/>
  <c r="B73" i="4"/>
  <c r="B45" i="4"/>
  <c r="B103" i="4"/>
  <c r="B81" i="4"/>
  <c r="B23" i="4"/>
  <c r="B53" i="4"/>
  <c r="B65" i="4"/>
  <c r="B99" i="4"/>
  <c r="B52" i="4"/>
  <c r="B21" i="4"/>
  <c r="B6" i="4"/>
  <c r="B15" i="4"/>
  <c r="B129" i="4"/>
  <c r="B38" i="4"/>
  <c r="B48" i="4"/>
  <c r="B93" i="4"/>
  <c r="B126" i="4"/>
  <c r="B32" i="4"/>
  <c r="B60" i="4"/>
  <c r="B42" i="4"/>
  <c r="B5" i="4"/>
  <c r="B37" i="4"/>
  <c r="B74" i="4"/>
  <c r="B41" i="4"/>
  <c r="B11" i="4"/>
  <c r="B58" i="4"/>
  <c r="B96" i="4"/>
  <c r="B34" i="4"/>
  <c r="B2" i="4"/>
  <c r="B97" i="4"/>
  <c r="B76" i="4"/>
  <c r="B123" i="4"/>
  <c r="B16" i="4"/>
  <c r="B80" i="4"/>
  <c r="B71" i="4"/>
  <c r="B20" i="4"/>
  <c r="B127" i="4"/>
  <c r="B89" i="4"/>
  <c r="B114" i="4"/>
  <c r="B57" i="4"/>
  <c r="B85" i="4"/>
  <c r="B111" i="4"/>
  <c r="B122" i="4"/>
  <c r="B55" i="4"/>
  <c r="B24" i="4"/>
  <c r="B115" i="4"/>
  <c r="B67" i="4"/>
  <c r="B49" i="4"/>
  <c r="B112" i="4"/>
  <c r="C30" i="4" l="1"/>
  <c r="C104" i="4"/>
  <c r="C103" i="4"/>
  <c r="C68" i="4"/>
  <c r="C34" i="4"/>
  <c r="C98" i="4"/>
  <c r="C70" i="4"/>
  <c r="C25" i="4"/>
  <c r="C72" i="4"/>
  <c r="C105" i="4"/>
  <c r="C57" i="4"/>
  <c r="C109" i="4"/>
  <c r="C106" i="4"/>
  <c r="C67" i="4"/>
  <c r="C28" i="4"/>
  <c r="C26" i="4"/>
  <c r="C24" i="4"/>
  <c r="C22" i="4"/>
  <c r="C56" i="4"/>
  <c r="C20" i="4"/>
  <c r="C35" i="4"/>
  <c r="C69" i="4"/>
  <c r="C29" i="4"/>
  <c r="C58" i="4"/>
  <c r="C32" i="4"/>
  <c r="C64" i="4"/>
  <c r="C27" i="4"/>
  <c r="C97" i="4"/>
  <c r="C60" i="4"/>
  <c r="C95" i="4"/>
  <c r="C23" i="4"/>
  <c r="C129" i="4"/>
  <c r="C92" i="4"/>
  <c r="C55" i="4"/>
  <c r="C90" i="4"/>
  <c r="C54" i="4"/>
  <c r="C18" i="4"/>
  <c r="C125" i="4"/>
  <c r="C89" i="4"/>
  <c r="C53" i="4"/>
  <c r="C17" i="4"/>
  <c r="C36" i="4"/>
  <c r="C33" i="4"/>
  <c r="C65" i="4"/>
  <c r="C94" i="4"/>
  <c r="C102" i="4"/>
  <c r="C108" i="4"/>
  <c r="C107" i="4"/>
  <c r="C31" i="4"/>
  <c r="C101" i="4"/>
  <c r="C100" i="4"/>
  <c r="C99" i="4"/>
  <c r="C63" i="4"/>
  <c r="C61" i="4"/>
  <c r="C96" i="4"/>
  <c r="C59" i="4"/>
  <c r="C21" i="4"/>
  <c r="C127" i="4"/>
  <c r="C19" i="4"/>
  <c r="C126" i="4"/>
  <c r="C88" i="4"/>
  <c r="C16" i="4"/>
  <c r="C123" i="4"/>
  <c r="C87" i="4"/>
  <c r="C15" i="4"/>
  <c r="C122" i="4"/>
  <c r="C86" i="4"/>
  <c r="C50" i="4"/>
  <c r="C14" i="4"/>
  <c r="C121" i="4"/>
  <c r="C85" i="4"/>
  <c r="C49" i="4"/>
  <c r="C13" i="4"/>
  <c r="C120" i="4"/>
  <c r="C84" i="4"/>
  <c r="C48" i="4"/>
  <c r="C12" i="4"/>
  <c r="C119" i="4"/>
  <c r="C83" i="4"/>
  <c r="C47" i="4"/>
  <c r="C11" i="4"/>
  <c r="C71" i="4"/>
  <c r="C66" i="4"/>
  <c r="C62" i="4"/>
  <c r="C93" i="4"/>
  <c r="C128" i="4"/>
  <c r="C91" i="4"/>
  <c r="C124" i="4"/>
  <c r="C52" i="4"/>
  <c r="C51" i="4"/>
  <c r="C118" i="4"/>
  <c r="C82" i="4"/>
  <c r="C46" i="4"/>
  <c r="C10" i="4"/>
  <c r="C117" i="4"/>
  <c r="C81" i="4"/>
  <c r="C45" i="4"/>
  <c r="C9" i="4"/>
  <c r="C37" i="4"/>
  <c r="C80" i="4"/>
  <c r="C44" i="4"/>
  <c r="C8" i="4"/>
  <c r="C115" i="4"/>
  <c r="C79" i="4"/>
  <c r="C43" i="4"/>
  <c r="C7" i="4"/>
  <c r="C42" i="4"/>
  <c r="C6" i="4"/>
  <c r="C5" i="4"/>
  <c r="C78" i="4"/>
  <c r="C4" i="4"/>
  <c r="C116" i="4"/>
  <c r="C3" i="4"/>
  <c r="C73" i="4"/>
  <c r="C114" i="4"/>
  <c r="C113" i="4"/>
  <c r="C77" i="4"/>
  <c r="C41" i="4"/>
  <c r="C112" i="4"/>
  <c r="C76" i="4"/>
  <c r="C40" i="4"/>
  <c r="C111" i="4"/>
  <c r="C75" i="4"/>
  <c r="C39" i="4"/>
  <c r="C110" i="4"/>
  <c r="C74" i="4"/>
  <c r="C38" i="4"/>
  <c r="C2" i="4"/>
  <c r="E126" i="4"/>
  <c r="F126" i="4"/>
  <c r="E125" i="4"/>
  <c r="F125" i="4"/>
  <c r="E91" i="4" l="1"/>
  <c r="E3" i="4"/>
  <c r="E4" i="4"/>
  <c r="E5" i="4"/>
  <c r="E6" i="4"/>
  <c r="E7" i="4"/>
  <c r="E14" i="4"/>
  <c r="E9" i="4"/>
  <c r="E10" i="4"/>
  <c r="E12" i="4"/>
  <c r="E13" i="4"/>
  <c r="E100" i="4"/>
  <c r="E15" i="4"/>
  <c r="E16" i="4"/>
  <c r="E17" i="4"/>
  <c r="E18" i="4"/>
  <c r="E19" i="4"/>
  <c r="E20" i="4"/>
  <c r="E21" i="4"/>
  <c r="E22" i="4"/>
  <c r="E87" i="4"/>
  <c r="E106" i="4"/>
  <c r="E25" i="4"/>
  <c r="E26" i="4"/>
  <c r="E27" i="4"/>
  <c r="E28" i="4"/>
  <c r="E109" i="4"/>
  <c r="E45" i="4"/>
  <c r="E30" i="4"/>
  <c r="E31" i="4"/>
  <c r="E92" i="4"/>
  <c r="E24" i="4"/>
  <c r="E110" i="4"/>
  <c r="E35" i="4"/>
  <c r="E59" i="4"/>
  <c r="E67" i="4"/>
  <c r="E50" i="4"/>
  <c r="E39" i="4"/>
  <c r="E40" i="4"/>
  <c r="E44" i="4"/>
  <c r="E60" i="4"/>
  <c r="E57" i="4"/>
  <c r="E99" i="4"/>
  <c r="E98" i="4"/>
  <c r="E46" i="4"/>
  <c r="E64" i="4"/>
  <c r="E48" i="4"/>
  <c r="E73" i="4"/>
  <c r="E74" i="4"/>
  <c r="E75" i="4"/>
  <c r="E52" i="4"/>
  <c r="E53" i="4"/>
  <c r="E54" i="4"/>
  <c r="E55" i="4"/>
  <c r="E23" i="4"/>
  <c r="E105" i="4"/>
  <c r="E58" i="4"/>
  <c r="E51" i="4"/>
  <c r="E118" i="4"/>
  <c r="E49" i="4"/>
  <c r="E62" i="4"/>
  <c r="E63" i="4"/>
  <c r="E66" i="4"/>
  <c r="E47" i="4"/>
  <c r="E84" i="4"/>
  <c r="E86" i="4"/>
  <c r="E68" i="4"/>
  <c r="E69" i="4"/>
  <c r="E70" i="4"/>
  <c r="E71" i="4"/>
  <c r="E29" i="4"/>
  <c r="E65" i="4"/>
  <c r="E72" i="4"/>
  <c r="E61" i="4"/>
  <c r="E76" i="4"/>
  <c r="E77" i="4"/>
  <c r="E78" i="4"/>
  <c r="E79" i="4"/>
  <c r="E80" i="4"/>
  <c r="E81" i="4"/>
  <c r="E82" i="4"/>
  <c r="E83" i="4"/>
  <c r="E37" i="4"/>
  <c r="E85" i="4"/>
  <c r="E97" i="4"/>
  <c r="E95" i="4"/>
  <c r="E88" i="4"/>
  <c r="E89" i="4"/>
  <c r="E90" i="4"/>
  <c r="E119" i="4"/>
  <c r="E38" i="4"/>
  <c r="E93" i="4"/>
  <c r="E94" i="4"/>
  <c r="E43" i="4"/>
  <c r="E96" i="4"/>
  <c r="E56" i="4"/>
  <c r="E42" i="4"/>
  <c r="E41" i="4"/>
  <c r="E121" i="4"/>
  <c r="E101" i="4"/>
  <c r="E102" i="4"/>
  <c r="E103" i="4"/>
  <c r="E104" i="4"/>
  <c r="E8" i="4"/>
  <c r="E11" i="4"/>
  <c r="E107" i="4"/>
  <c r="E33" i="4"/>
  <c r="E32" i="4"/>
  <c r="E115" i="4"/>
  <c r="E111" i="4"/>
  <c r="E112" i="4"/>
  <c r="E113" i="4"/>
  <c r="E114" i="4"/>
  <c r="E34" i="4"/>
  <c r="E116" i="4"/>
  <c r="E117" i="4"/>
  <c r="E36" i="4"/>
  <c r="E2" i="4"/>
  <c r="E120" i="4"/>
  <c r="E108" i="4"/>
  <c r="E122" i="4"/>
  <c r="E123" i="4"/>
  <c r="E124" i="4"/>
  <c r="F91" i="4"/>
  <c r="F3" i="4"/>
  <c r="F4" i="4"/>
  <c r="F5" i="4"/>
  <c r="F6" i="4"/>
  <c r="F7" i="4"/>
  <c r="F14" i="4"/>
  <c r="F9" i="4"/>
  <c r="F10" i="4"/>
  <c r="F12" i="4"/>
  <c r="F13" i="4"/>
  <c r="F100" i="4"/>
  <c r="F15" i="4"/>
  <c r="F16" i="4"/>
  <c r="F17" i="4"/>
  <c r="F18" i="4"/>
  <c r="F19" i="4"/>
  <c r="F20" i="4"/>
  <c r="F21" i="4"/>
  <c r="F22" i="4"/>
  <c r="F87" i="4"/>
  <c r="F106" i="4"/>
  <c r="F25" i="4"/>
  <c r="F26" i="4"/>
  <c r="F27" i="4"/>
  <c r="F28" i="4"/>
  <c r="F109" i="4"/>
  <c r="F45" i="4"/>
  <c r="F30" i="4"/>
  <c r="F31" i="4"/>
  <c r="F92" i="4"/>
  <c r="F24" i="4"/>
  <c r="F110" i="4"/>
  <c r="F35" i="4"/>
  <c r="F59" i="4"/>
  <c r="F67" i="4"/>
  <c r="F50" i="4"/>
  <c r="F39" i="4"/>
  <c r="F40" i="4"/>
  <c r="F44" i="4"/>
  <c r="F60" i="4"/>
  <c r="F57" i="4"/>
  <c r="F99" i="4"/>
  <c r="F98" i="4"/>
  <c r="F46" i="4"/>
  <c r="F64" i="4"/>
  <c r="F48" i="4"/>
  <c r="F73" i="4"/>
  <c r="F74" i="4"/>
  <c r="F75" i="4"/>
  <c r="F52" i="4"/>
  <c r="F53" i="4"/>
  <c r="F54" i="4"/>
  <c r="F55" i="4"/>
  <c r="F23" i="4"/>
  <c r="F105" i="4"/>
  <c r="F58" i="4"/>
  <c r="F51" i="4"/>
  <c r="F118" i="4"/>
  <c r="F49" i="4"/>
  <c r="F62" i="4"/>
  <c r="F63" i="4"/>
  <c r="F66" i="4"/>
  <c r="F47" i="4"/>
  <c r="F84" i="4"/>
  <c r="F86" i="4"/>
  <c r="F68" i="4"/>
  <c r="F69" i="4"/>
  <c r="F70" i="4"/>
  <c r="F71" i="4"/>
  <c r="F29" i="4"/>
  <c r="F65" i="4"/>
  <c r="F72" i="4"/>
  <c r="F61" i="4"/>
  <c r="F76" i="4"/>
  <c r="F77" i="4"/>
  <c r="F78" i="4"/>
  <c r="F79" i="4"/>
  <c r="F80" i="4"/>
  <c r="F81" i="4"/>
  <c r="F82" i="4"/>
  <c r="F83" i="4"/>
  <c r="F37" i="4"/>
  <c r="F85" i="4"/>
  <c r="F97" i="4"/>
  <c r="F95" i="4"/>
  <c r="F88" i="4"/>
  <c r="F89" i="4"/>
  <c r="F90" i="4"/>
  <c r="F119" i="4"/>
  <c r="F38" i="4"/>
  <c r="F93" i="4"/>
  <c r="F94" i="4"/>
  <c r="F43" i="4"/>
  <c r="F96" i="4"/>
  <c r="F56" i="4"/>
  <c r="F42" i="4"/>
  <c r="F41" i="4"/>
  <c r="F121" i="4"/>
  <c r="F101" i="4"/>
  <c r="F102" i="4"/>
  <c r="F103" i="4"/>
  <c r="F104" i="4"/>
  <c r="F8" i="4"/>
  <c r="F11" i="4"/>
  <c r="F107" i="4"/>
  <c r="F33" i="4"/>
  <c r="F32" i="4"/>
  <c r="F115" i="4"/>
  <c r="F111" i="4"/>
  <c r="F112" i="4"/>
  <c r="F113" i="4"/>
  <c r="F114" i="4"/>
  <c r="F34" i="4"/>
  <c r="F116" i="4"/>
  <c r="F117" i="4"/>
  <c r="F36" i="4"/>
  <c r="F2" i="4"/>
  <c r="F120" i="4"/>
  <c r="F108" i="4"/>
  <c r="F122" i="4"/>
  <c r="F123" i="4"/>
  <c r="F1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</author>
  </authors>
  <commentList>
    <comment ref="E5" authorId="0" shapeId="0" xr:uid="{6CBE2DB1-876C-4A49-985F-2F557DF0A3AA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publicada falta fazer aceite definitivo</t>
        </r>
      </text>
    </comment>
    <comment ref="E27" authorId="0" shapeId="0" xr:uid="{F25F10FB-B80E-4033-8E62-2622CB7643F0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publicada falta fazer aceite definitivo</t>
        </r>
      </text>
    </comment>
    <comment ref="E30" authorId="0" shapeId="0" xr:uid="{3B288502-51BE-4705-A99C-D4F77DF69B24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publicada falta fazer aceite definitivo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</author>
  </authors>
  <commentList>
    <comment ref="E4" authorId="0" shapeId="0" xr:uid="{B453E4F7-A885-428F-B33C-BB060F1EA904}">
      <text>
        <r>
          <rPr>
            <b/>
            <sz val="9"/>
            <color indexed="81"/>
            <rFont val="Segoe UI"/>
            <family val="2"/>
          </rPr>
          <t>MARCELO:
aceite definitivo publicado em 12/05/25 fazer termo de entrega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MARCELO</author>
  </authors>
  <commentList>
    <comment ref="E15" authorId="0" shapeId="0" xr:uid="{0B8CC54D-993E-46DB-96BF-CBCDEB564592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ACEITE PUBLICADO</t>
        </r>
      </text>
    </comment>
    <comment ref="E17" authorId="0" shapeId="0" xr:uid="{1C1313D7-9901-4464-A5A0-7A85EED7CEA9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ACEITE PUBLICADO</t>
        </r>
      </text>
    </comment>
    <comment ref="E26" authorId="0" shapeId="0" xr:uid="{71BA5AE4-C5FE-49CC-912E-C53AB00C9503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ACEITE PUBLICADO</t>
        </r>
      </text>
    </comment>
    <comment ref="E27" authorId="0" shapeId="0" xr:uid="{A16CD914-4DE2-4BE1-A9F6-111CD74575DD}">
      <text>
        <r>
          <rPr>
            <b/>
            <sz val="9"/>
            <color indexed="81"/>
            <rFont val="Segoe UI"/>
            <family val="2"/>
          </rPr>
          <t>MARCELO:</t>
        </r>
        <r>
          <rPr>
            <sz val="9"/>
            <color indexed="81"/>
            <rFont val="Segoe UI"/>
            <family val="2"/>
          </rPr>
          <t xml:space="preserve">
comissão para aceite definitivo pedida em 03/07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07274F-0F87-4691-89D5-B11F660DFEA4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F5A2671-DA44-4AD4-A116-1962547A7DB8}" name="WorksheetConnection_COMISSÕES POR REGIAO.xlsx!Tabela11" type="102" refreshedVersion="8" minRefreshableVersion="5">
    <extLst>
      <ext xmlns:x15="http://schemas.microsoft.com/office/spreadsheetml/2010/11/main" uri="{DE250136-89BD-433C-8126-D09CA5730AF9}">
        <x15:connection id="Tabela11">
          <x15:rangePr sourceName="_xlcn.WorksheetConnection_COMISSÕESPORREGIAO.xlsxTabela111"/>
        </x15:connection>
      </ext>
    </extLst>
  </connection>
  <connection id="3" xr16:uid="{1B7CBABD-81DF-451A-B326-FB770CFA9CC2}" name="WorksheetConnection_COMISSÕES POR REGIAO.xlsx!Tabela14" type="102" refreshedVersion="8" minRefreshableVersion="5">
    <extLst>
      <ext xmlns:x15="http://schemas.microsoft.com/office/spreadsheetml/2010/11/main" uri="{DE250136-89BD-433C-8126-D09CA5730AF9}">
        <x15:connection id="Tabela14">
          <x15:rangePr sourceName="_xlcn.WorksheetConnection_COMISSÕESPORREGIAO.xlsxTabela141"/>
        </x15:connection>
      </ext>
    </extLst>
  </connection>
  <connection id="4" xr16:uid="{6483CBB4-EC21-49C4-967D-E5D30BAB9D45}" name="WorksheetConnection_COMISSÕES POR REGIAO.xlsx!Tabela6" type="102" refreshedVersion="8" minRefreshableVersion="5">
    <extLst>
      <ext xmlns:x15="http://schemas.microsoft.com/office/spreadsheetml/2010/11/main" uri="{DE250136-89BD-433C-8126-D09CA5730AF9}">
        <x15:connection id="Tabela6" autoDelete="1">
          <x15:rangePr sourceName="_xlcn.WorksheetConnection_COMISSÕESPORREGIAO.xlsxTabela61"/>
        </x15:connection>
      </ext>
    </extLst>
  </connection>
</connections>
</file>

<file path=xl/sharedStrings.xml><?xml version="1.0" encoding="utf-8"?>
<sst xmlns="http://schemas.openxmlformats.org/spreadsheetml/2006/main" count="969" uniqueCount="346">
  <si>
    <t>330018/000748/2022</t>
  </si>
  <si>
    <t>BARRA DO PIRAÍ</t>
  </si>
  <si>
    <t>330018/001062/2022</t>
  </si>
  <si>
    <t>BARRA MANSA</t>
  </si>
  <si>
    <t>330018/001109/2022</t>
  </si>
  <si>
    <t>330018/001087/2021</t>
  </si>
  <si>
    <t>LEVY GASPARIAN</t>
  </si>
  <si>
    <t>330018/000066/2022</t>
  </si>
  <si>
    <t>330018/000737/2022</t>
  </si>
  <si>
    <t>MENDES</t>
  </si>
  <si>
    <t>170026/000122/2022</t>
  </si>
  <si>
    <t>PARAÍBA DO SUL</t>
  </si>
  <si>
    <t>330018/000425/2022</t>
  </si>
  <si>
    <t>PATY DE ALFERES</t>
  </si>
  <si>
    <t>330018/000960/2021</t>
  </si>
  <si>
    <t>PORTO REAL</t>
  </si>
  <si>
    <t>330018/000931/2021</t>
  </si>
  <si>
    <t>170026/002680/2021</t>
  </si>
  <si>
    <t>QUATIS</t>
  </si>
  <si>
    <t>330018/000732/2021</t>
  </si>
  <si>
    <t>RESENDE</t>
  </si>
  <si>
    <t>170026/002017/2021</t>
  </si>
  <si>
    <t>170026/001641/2021</t>
  </si>
  <si>
    <t>RIO DAS FLORES</t>
  </si>
  <si>
    <t>330018/000244/2022</t>
  </si>
  <si>
    <t>VALENÇA</t>
  </si>
  <si>
    <t>330018/001015/2022</t>
  </si>
  <si>
    <t>170026/001908/2021</t>
  </si>
  <si>
    <t>VOLTA REDONDA</t>
  </si>
  <si>
    <t>330018/001392/2022</t>
  </si>
  <si>
    <t>330018/000567/2021</t>
  </si>
  <si>
    <t>JAPERI</t>
  </si>
  <si>
    <t>330018/000699/2021</t>
  </si>
  <si>
    <t>RIO CLARO</t>
  </si>
  <si>
    <t>330018/000697/2021</t>
  </si>
  <si>
    <t>SEI</t>
  </si>
  <si>
    <t>STATUS</t>
  </si>
  <si>
    <t>MUNICIPIO</t>
  </si>
  <si>
    <t>STATLED BRASIL</t>
  </si>
  <si>
    <t>MACADAME</t>
  </si>
  <si>
    <t>FARO LTDA</t>
  </si>
  <si>
    <t xml:space="preserve">CMHR </t>
  </si>
  <si>
    <t>HJ RODRIGUES</t>
  </si>
  <si>
    <t>VALLE SUL</t>
  </si>
  <si>
    <t>COMAL</t>
  </si>
  <si>
    <t>DE SÁ</t>
  </si>
  <si>
    <t>JKN ASSESSORIA</t>
  </si>
  <si>
    <t>MIDAS</t>
  </si>
  <si>
    <t>CMAX</t>
  </si>
  <si>
    <t>EMPRESA</t>
  </si>
  <si>
    <t>ACEITE PROVISORIO</t>
  </si>
  <si>
    <t>170026/001967/2021</t>
  </si>
  <si>
    <t>330018/000568/2021</t>
  </si>
  <si>
    <t xml:space="preserve">PETROPUMP </t>
  </si>
  <si>
    <t xml:space="preserve">CONSTRUSAN </t>
  </si>
  <si>
    <t xml:space="preserve">VILA DOS PESCADORES </t>
  </si>
  <si>
    <t xml:space="preserve">CTESA </t>
  </si>
  <si>
    <t xml:space="preserve">PARQUE SARAIVA </t>
  </si>
  <si>
    <t xml:space="preserve">CONPLAN </t>
  </si>
  <si>
    <t xml:space="preserve">IMBEG </t>
  </si>
  <si>
    <t xml:space="preserve">ACA </t>
  </si>
  <si>
    <t xml:space="preserve">NOVO MUNDO </t>
  </si>
  <si>
    <t xml:space="preserve">SOLOTESTE </t>
  </si>
  <si>
    <t xml:space="preserve">FLUMINENSE </t>
  </si>
  <si>
    <t>EXECUÇÃO</t>
  </si>
  <si>
    <t>VALPLAT</t>
  </si>
  <si>
    <t>CONCEIÇÃO DE MACABU</t>
  </si>
  <si>
    <t>ITAPERUNA</t>
  </si>
  <si>
    <t>CAMPOS</t>
  </si>
  <si>
    <t>SÃO JOSÉ DE UBÁ</t>
  </si>
  <si>
    <t>SÃO SEBASTIÃO DO ALTO</t>
  </si>
  <si>
    <t>NOVA FRIBURGO</t>
  </si>
  <si>
    <t>SÃO FRANCISCO DO ITABAPOANA</t>
  </si>
  <si>
    <t>IGUABA GRANDE</t>
  </si>
  <si>
    <t xml:space="preserve">JKN </t>
  </si>
  <si>
    <t>TERESOPOLIS</t>
  </si>
  <si>
    <t>MACAÉ</t>
  </si>
  <si>
    <t xml:space="preserve">KROFMAN </t>
  </si>
  <si>
    <t>330018/000711/2021</t>
  </si>
  <si>
    <t>E-17/001/2008/2014</t>
  </si>
  <si>
    <t>330018/001315/2022</t>
  </si>
  <si>
    <t>330018/000529/2022</t>
  </si>
  <si>
    <t>330018/000675/2022</t>
  </si>
  <si>
    <t>330018/000530/2022</t>
  </si>
  <si>
    <t>MJRE</t>
  </si>
  <si>
    <t>HYDRA</t>
  </si>
  <si>
    <t>SANTA LUZIA</t>
  </si>
  <si>
    <t>STATLED</t>
  </si>
  <si>
    <t>ORIENTE</t>
  </si>
  <si>
    <t>ENGEPRAT</t>
  </si>
  <si>
    <t>NILÓPOLIS</t>
  </si>
  <si>
    <t>NOVA IGUAÇÚ</t>
  </si>
  <si>
    <t>DUQUE DE CAXIAS</t>
  </si>
  <si>
    <t>CONSTRUTEC</t>
  </si>
  <si>
    <t>330001/000715/2024</t>
  </si>
  <si>
    <t>MAURO / CAIO</t>
  </si>
  <si>
    <t>330018/001069/2021</t>
  </si>
  <si>
    <t>NF</t>
  </si>
  <si>
    <t>NOVA IGUAÇU</t>
  </si>
  <si>
    <t>DRATEC</t>
  </si>
  <si>
    <t>QUEIMADOS</t>
  </si>
  <si>
    <t>MACIEL</t>
  </si>
  <si>
    <t>330018/000052/2022</t>
  </si>
  <si>
    <t>CONE ENGª</t>
  </si>
  <si>
    <t>330018/000107/2022</t>
  </si>
  <si>
    <t>ORIENTE LTDA</t>
  </si>
  <si>
    <t>330018/000190/2022</t>
  </si>
  <si>
    <t>BRASFORM</t>
  </si>
  <si>
    <t>MONJARDIN</t>
  </si>
  <si>
    <t>BELFORD ROXO</t>
  </si>
  <si>
    <t>SEEL</t>
  </si>
  <si>
    <t>330018/001025/2021</t>
  </si>
  <si>
    <t>ACA</t>
  </si>
  <si>
    <t>330018/001076/2021</t>
  </si>
  <si>
    <t xml:space="preserve">HYDRA </t>
  </si>
  <si>
    <t>330018/001213/2022</t>
  </si>
  <si>
    <t>330018/001363/2022</t>
  </si>
  <si>
    <t>MAGÉ</t>
  </si>
  <si>
    <t>GRAVISA</t>
  </si>
  <si>
    <t>330018/000333/2022</t>
  </si>
  <si>
    <t>170026/002043/2021</t>
  </si>
  <si>
    <t>330018/000930/2021</t>
  </si>
  <si>
    <r>
      <t xml:space="preserve">OBRAS REGIÃO - </t>
    </r>
    <r>
      <rPr>
        <b/>
        <sz val="16"/>
        <color theme="1"/>
        <rFont val="Calibri"/>
        <family val="2"/>
        <scheme val="minor"/>
      </rPr>
      <t>NORTE</t>
    </r>
  </si>
  <si>
    <t>METROPOLITANA</t>
  </si>
  <si>
    <t>CASIMIRO DE ABREU</t>
  </si>
  <si>
    <t>ACEITE DEFINITIVO</t>
  </si>
  <si>
    <t>ARARUAMA</t>
  </si>
  <si>
    <t>OMEGA</t>
  </si>
  <si>
    <t>170026/002183/2021</t>
  </si>
  <si>
    <t>CARDOSO DE MORAES</t>
  </si>
  <si>
    <t>R.C. VIEIRA</t>
  </si>
  <si>
    <r>
      <t xml:space="preserve">OBRAS REGIÃO - </t>
    </r>
    <r>
      <rPr>
        <b/>
        <sz val="16"/>
        <color theme="1"/>
        <rFont val="Calibri"/>
        <family val="2"/>
        <scheme val="minor"/>
      </rPr>
      <t>SUL</t>
    </r>
  </si>
  <si>
    <t>170026/000318/2022</t>
  </si>
  <si>
    <t>170026/003250/2021</t>
  </si>
  <si>
    <t>330018/000630/2021</t>
  </si>
  <si>
    <t>330018/000681/2021</t>
  </si>
  <si>
    <t>330018/000569/2021</t>
  </si>
  <si>
    <t>MANGARATIBA</t>
  </si>
  <si>
    <t>LYTORANEA</t>
  </si>
  <si>
    <t>DEMOB 1</t>
  </si>
  <si>
    <t>DEMOB 2</t>
  </si>
  <si>
    <t>DEMOB 3</t>
  </si>
  <si>
    <r>
      <rPr>
        <b/>
        <sz val="11"/>
        <color theme="1"/>
        <rFont val="Calibri"/>
        <family val="2"/>
        <scheme val="minor"/>
      </rPr>
      <t>COORDENADOR: Marcelo</t>
    </r>
    <r>
      <rPr>
        <b/>
        <sz val="10"/>
        <color theme="1"/>
        <rFont val="Calibri"/>
        <family val="2"/>
        <scheme val="minor"/>
      </rPr>
      <t xml:space="preserve"> - OBRAS REGIÃO - </t>
    </r>
    <r>
      <rPr>
        <b/>
        <sz val="16"/>
        <color theme="1"/>
        <rFont val="Calibri"/>
        <family val="2"/>
        <scheme val="minor"/>
      </rPr>
      <t>BAIXADA FLUMINENSE</t>
    </r>
  </si>
  <si>
    <t>330018/001440/2022</t>
  </si>
  <si>
    <t>330018/000566/2021</t>
  </si>
  <si>
    <t>330018/001141/2022</t>
  </si>
  <si>
    <t>330018/001041/2021</t>
  </si>
  <si>
    <t>330018/000843/2021</t>
  </si>
  <si>
    <t>MIGUEL PEREIRA</t>
  </si>
  <si>
    <t>SÃO JOÃO DE MERITI</t>
  </si>
  <si>
    <t>ÔMEGA</t>
  </si>
  <si>
    <t>170026/003264/2021</t>
  </si>
  <si>
    <t>170026/001772/2022</t>
  </si>
  <si>
    <t>330018/000085/2022</t>
  </si>
  <si>
    <t>330018/000156/2022</t>
  </si>
  <si>
    <t>330018/000480/2022</t>
  </si>
  <si>
    <t>330018/000619/2021</t>
  </si>
  <si>
    <t>330018/000658/2022</t>
  </si>
  <si>
    <t>330018/000694/2021</t>
  </si>
  <si>
    <t>330018/000695/2021</t>
  </si>
  <si>
    <t>330018/000696/2021</t>
  </si>
  <si>
    <t>330018/000982/2021</t>
  </si>
  <si>
    <t>330018/001070/2021</t>
  </si>
  <si>
    <t>330018/001380/2022</t>
  </si>
  <si>
    <t>170026/001792/2021</t>
  </si>
  <si>
    <t>170026/002217/2021</t>
  </si>
  <si>
    <t>PETROPOLIS</t>
  </si>
  <si>
    <t>CONSÓRCIO ECONORTE GEOSONDA</t>
  </si>
  <si>
    <t>170026/000230/2022</t>
  </si>
  <si>
    <t>170026/000772/2022</t>
  </si>
  <si>
    <t>330018/000730/2021</t>
  </si>
  <si>
    <t>330018/000887/2022</t>
  </si>
  <si>
    <t>330018/001054/2021</t>
  </si>
  <si>
    <t>330018/001148/2022</t>
  </si>
  <si>
    <t>330018/001159/2022</t>
  </si>
  <si>
    <t>330018/001303/2022</t>
  </si>
  <si>
    <t>170026/000538/2022</t>
  </si>
  <si>
    <t>GESTOR</t>
  </si>
  <si>
    <t>REGIAO</t>
  </si>
  <si>
    <t>Coluna1</t>
  </si>
  <si>
    <t>170026/001374/2022</t>
  </si>
  <si>
    <t>170026/000277/2021</t>
  </si>
  <si>
    <t>170026/000821/2021</t>
  </si>
  <si>
    <t>150001/012862/2022</t>
  </si>
  <si>
    <t>170026/001228/2022</t>
  </si>
  <si>
    <t>460001/000251/2023</t>
  </si>
  <si>
    <t>460001/000779/2023</t>
  </si>
  <si>
    <t>170026/001756/2021</t>
  </si>
  <si>
    <t>170026/001757/2021</t>
  </si>
  <si>
    <t>170026/000233/2022</t>
  </si>
  <si>
    <t>330018/000981/2021</t>
  </si>
  <si>
    <t>460001/000416/2023</t>
  </si>
  <si>
    <t>170026/003470/2021</t>
  </si>
  <si>
    <t>CONCLUIDA</t>
  </si>
  <si>
    <t>DISTRATO</t>
  </si>
  <si>
    <t>ANGRA DOS REIS</t>
  </si>
  <si>
    <t>RIO DE JANEIRO</t>
  </si>
  <si>
    <t>CAMPOS DOS GOYTACAZES</t>
  </si>
  <si>
    <t>PETRÓPOLIS</t>
  </si>
  <si>
    <t>BARRA NOVA</t>
  </si>
  <si>
    <t>CARLETTI</t>
  </si>
  <si>
    <t>CONCREJATO</t>
  </si>
  <si>
    <t>DRV</t>
  </si>
  <si>
    <t>DRV ENGENHARIA</t>
  </si>
  <si>
    <t>MPE</t>
  </si>
  <si>
    <t xml:space="preserve">MPE </t>
  </si>
  <si>
    <t>PETROPUMP</t>
  </si>
  <si>
    <t>VCE</t>
  </si>
  <si>
    <t>OBRAS - ESPECIAIS</t>
  </si>
  <si>
    <t>330018/000227/2022</t>
  </si>
  <si>
    <t xml:space="preserve">CONSTRUTEC </t>
  </si>
  <si>
    <t>330018/000698/2021</t>
  </si>
  <si>
    <t>170026/001611/2020</t>
  </si>
  <si>
    <t>170026/002777/2021</t>
  </si>
  <si>
    <t>CONS. SÃO JOSÉ - HY./ MED.</t>
  </si>
  <si>
    <t>E-17/026/0056/2020</t>
  </si>
  <si>
    <t>BIG FARM</t>
  </si>
  <si>
    <t>460001/000827/2023</t>
  </si>
  <si>
    <t>460001/000821/2023</t>
  </si>
  <si>
    <t>170026/001837/2022</t>
  </si>
  <si>
    <t>ABRE CONSTRUÇÕES LTDA</t>
  </si>
  <si>
    <t>330001/000538/2024</t>
  </si>
  <si>
    <t>PLENAPLAN CONSTRUTORA LTDA</t>
  </si>
  <si>
    <t>330018/000053/2023</t>
  </si>
  <si>
    <t>E-17/026/1514/2019</t>
  </si>
  <si>
    <t>MARCUS</t>
  </si>
  <si>
    <t>390005/000096/2021</t>
  </si>
  <si>
    <t>GESTOR(A) ATUANTE</t>
  </si>
  <si>
    <t>FISCAL NOMEADO</t>
  </si>
  <si>
    <t>GESTOR(A)
ATUANTE</t>
  </si>
  <si>
    <t>460001/001990/2023</t>
  </si>
  <si>
    <t>PREST RIO CONSTRUÇÕES E SERVIÇOS Ltda</t>
  </si>
  <si>
    <t>CARDOSO MOREIRA</t>
  </si>
  <si>
    <t>330001/000097/2024</t>
  </si>
  <si>
    <t>CONS.COPACABANA</t>
  </si>
  <si>
    <t>#CONCLUIDA</t>
  </si>
  <si>
    <t>330001/001217/2024</t>
  </si>
  <si>
    <t>CONS MENDES / KLABIN</t>
  </si>
  <si>
    <t>GONÇALVES NEVES</t>
  </si>
  <si>
    <t>CMAX (oficio Acessibilidade)</t>
  </si>
  <si>
    <t>180007/000770/2022</t>
  </si>
  <si>
    <t>CONSTRUPOWER</t>
  </si>
  <si>
    <t>330018/000245/2022</t>
  </si>
  <si>
    <t>RIO BONITO</t>
  </si>
  <si>
    <t>ENEX CONSTRUÇÕES LTDA</t>
  </si>
  <si>
    <t>330001/001280/2024</t>
  </si>
  <si>
    <t>NILOPOLIS</t>
  </si>
  <si>
    <t>SOLOTESTE</t>
  </si>
  <si>
    <t>330001/001278/2024</t>
  </si>
  <si>
    <t>CONSTRUTORA AXIAL LTDA</t>
  </si>
  <si>
    <t>330001/001441/2024</t>
  </si>
  <si>
    <t>460001/002050/2023</t>
  </si>
  <si>
    <t>ERWIL</t>
  </si>
  <si>
    <t>PINHEIRAL</t>
  </si>
  <si>
    <t>SUSPENSA</t>
  </si>
  <si>
    <t>E-17/026/903/2019</t>
  </si>
  <si>
    <t>E-17/026/1892/2019</t>
  </si>
  <si>
    <t>460001/001918/2023</t>
  </si>
  <si>
    <t>COPACABANA R2X/TANGRAM</t>
  </si>
  <si>
    <t>330018/000421/2023</t>
  </si>
  <si>
    <t>ECONORTE</t>
  </si>
  <si>
    <t>330001/002122/2024</t>
  </si>
  <si>
    <t>170026/001548/2021</t>
  </si>
  <si>
    <t>CONSÓRCIO SÃO JOÃO</t>
  </si>
  <si>
    <t>AXIAL</t>
  </si>
  <si>
    <t>330001/001080/2025</t>
  </si>
  <si>
    <t>330001/001275/2024</t>
  </si>
  <si>
    <t>MARENGE</t>
  </si>
  <si>
    <t xml:space="preserve">ABBM </t>
  </si>
  <si>
    <t>330001/000247/2025</t>
  </si>
  <si>
    <t>FAB MIX CONCRETOS</t>
  </si>
  <si>
    <t>OBRAS - CONTIGENCIAS</t>
  </si>
  <si>
    <t>LOCAL</t>
  </si>
  <si>
    <t>CESAR</t>
  </si>
  <si>
    <t>330001/000414/2024</t>
  </si>
  <si>
    <t>330001/001081/2025</t>
  </si>
  <si>
    <t>SOLVE CONSULTORIA</t>
  </si>
  <si>
    <t>330001/001680/2024</t>
  </si>
  <si>
    <t>R. RITA</t>
  </si>
  <si>
    <t>BOM JARDIM</t>
  </si>
  <si>
    <t>SOPE ENGENHARIA</t>
  </si>
  <si>
    <t>E-17/001/219/2018</t>
  </si>
  <si>
    <t/>
  </si>
  <si>
    <t>JAQUELINE PASTÓRIO</t>
  </si>
  <si>
    <t>CAIO</t>
  </si>
  <si>
    <t>MAURÍCIO</t>
  </si>
  <si>
    <t>CARLOS FERNANDES</t>
  </si>
  <si>
    <t>330001/001282/2024</t>
  </si>
  <si>
    <t>CTESA CONSTRUÇÕES</t>
  </si>
  <si>
    <t>330001/001344/2025</t>
  </si>
  <si>
    <t>FAB MIX CONCRETOS LTDA</t>
  </si>
  <si>
    <t>460001/001617/2023</t>
  </si>
  <si>
    <t>VASSOURAS</t>
  </si>
  <si>
    <t>IPHAN</t>
  </si>
  <si>
    <t>NICHOLAS TAVARES / ARLINDO BASILIO</t>
  </si>
  <si>
    <t>NICHOLAS TAVARES / OTAVIO FEITOSA</t>
  </si>
  <si>
    <t>ARLINDO BASILIO / OTAVIO FEITOSA</t>
  </si>
  <si>
    <t>NICHOLAS TAVARES / OSVALDO NETO</t>
  </si>
  <si>
    <t>LUCIANA POSTIÇO / ARLINDO BASILIO</t>
  </si>
  <si>
    <t>ANDREIA VASQUES / ISADORA ROSALINO</t>
  </si>
  <si>
    <t>ARLINDO BASILIO / NICHOLAS TAVARES</t>
  </si>
  <si>
    <t>JEHNIFFER PIRES / ANDREIA VASQUES</t>
  </si>
  <si>
    <t>LUCIANA POSTIÇO / NICHOLAS TAVARES</t>
  </si>
  <si>
    <t>LUCIANA POSTIÇO / LEANDRO RAMOS</t>
  </si>
  <si>
    <t>GISELLE G. FONSECA</t>
  </si>
  <si>
    <t>ISADORA ROSALINO</t>
  </si>
  <si>
    <t>JEHNIFFER PIRES</t>
  </si>
  <si>
    <t>CAIO / LUIZ FILHO</t>
  </si>
  <si>
    <t>LUIZ FILHO</t>
  </si>
  <si>
    <t>NICHOLAS TAVARES / MAURÍCIO</t>
  </si>
  <si>
    <t>NICHOLAS TAVARES</t>
  </si>
  <si>
    <t>NICHOLAS TAVARES / MAURICIO</t>
  </si>
  <si>
    <t>LUIZ FILHO / NICHOLAS TAVARES</t>
  </si>
  <si>
    <t>JEHNIFFER PIRES / WASHINGTON</t>
  </si>
  <si>
    <t>OSVALDO NETO</t>
  </si>
  <si>
    <t>LUCIANA POSTIÇO / OSVALDO NETO</t>
  </si>
  <si>
    <t>ARLINDO BASILIO / OSVALDO NETO</t>
  </si>
  <si>
    <t>CAIO / ARLINDO BASILIO</t>
  </si>
  <si>
    <t>OSVALDO NETO/ ARLINDO BASILIO</t>
  </si>
  <si>
    <t>LIVIA ALVIM</t>
  </si>
  <si>
    <t>LIVIA ALVIM / ANDREIA VASQUES</t>
  </si>
  <si>
    <t>ISADORA ROSALINO / ANDREIA VASQUES</t>
  </si>
  <si>
    <t>ARLINDO BASILIO / LEANDRO RAMOS</t>
  </si>
  <si>
    <t>LUIZ FILHO / JOÃO RODRIGUES</t>
  </si>
  <si>
    <t>CAIO / JOÃO RODRIGUES</t>
  </si>
  <si>
    <t>JOÃO RODRIGUES / LEANDRO RAMOS</t>
  </si>
  <si>
    <t>ARLINDO BASILIO / JOÃO RODRIGUES</t>
  </si>
  <si>
    <t>JOÃO RODRIGUES / CAIO</t>
  </si>
  <si>
    <t>JOÃO RODRIGUES</t>
  </si>
  <si>
    <t>LUCIANA POSTIÇO / JOÃO RODRIGUES</t>
  </si>
  <si>
    <t>NICHOLAS TAVARES / HIGOR MARTINS</t>
  </si>
  <si>
    <t>OSVALDO NETO / HIGOR MARTINS</t>
  </si>
  <si>
    <t>OSVALDO NETO / DANRLEI GOMES</t>
  </si>
  <si>
    <t>HIGOR MARTINS / DANRLEI GOMES</t>
  </si>
  <si>
    <t>DANRLEI GOMES / IZADORA COE</t>
  </si>
  <si>
    <t>HIGOR MARTINS / IZADORA COE</t>
  </si>
  <si>
    <t>ERICK HYLARIO</t>
  </si>
  <si>
    <t>AIMAR FILHO</t>
  </si>
  <si>
    <t>IGOR CARNEIRO</t>
  </si>
  <si>
    <t>170026/001549/2020</t>
  </si>
  <si>
    <t>ABBM</t>
  </si>
  <si>
    <t>330001/001345/2025</t>
  </si>
  <si>
    <t>ANDREIA VASQUES / LUCIANA POSTIÇO</t>
  </si>
  <si>
    <t>170026/000214/2022</t>
  </si>
  <si>
    <t>POMA</t>
  </si>
  <si>
    <t>330001/001337/2025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</si>
</sst>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&quot;R$&quot;* #,##0_);_(&quot;R$&quot;* \(#,##0\);_(&quot;R$&quot;* &quot;-&quot;_);_(@_)"/>
    <numFmt numFmtId="165" formatCode="_(* #,##0_);_(* \(#,##0\);_(* &quot;-&quot;_);_(@_)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d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6"/>
      <color theme="1" tint="0.34998626667073579"/>
      <name val="Calibri"/>
      <family val="2"/>
      <scheme val="minor"/>
    </font>
    <font>
      <b/>
      <sz val="36"/>
      <color theme="1" tint="0.34998626667073579"/>
      <name val="Calibri Light"/>
      <family val="2"/>
      <scheme val="major"/>
    </font>
    <font>
      <b/>
      <sz val="2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0"/>
      <color theme="4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rgb="FF000000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/>
      </left>
      <right/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0" fontId="2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5" fillId="7" borderId="3" applyNumberFormat="0" applyAlignment="0" applyProtection="0"/>
    <xf numFmtId="0" fontId="6" fillId="8" borderId="4" applyNumberFormat="0" applyAlignment="0" applyProtection="0"/>
    <xf numFmtId="0" fontId="7" fillId="0" borderId="5" applyNumberFormat="0" applyFill="0" applyAlignment="0" applyProtection="0"/>
    <xf numFmtId="0" fontId="8" fillId="9" borderId="6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1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5" fillId="0" borderId="0"/>
    <xf numFmtId="0" fontId="18" fillId="0" borderId="0" applyNumberFormat="0" applyFill="0" applyBorder="0" applyAlignment="0" applyProtection="0"/>
    <xf numFmtId="0" fontId="16" fillId="0" borderId="0" applyNumberFormat="0" applyAlignment="0" applyProtection="0"/>
    <xf numFmtId="0" fontId="22" fillId="43" borderId="14" applyNumberFormat="0" applyAlignment="0" applyProtection="0"/>
    <xf numFmtId="14" fontId="19" fillId="36" borderId="13" applyProtection="0">
      <alignment horizontal="center" vertical="center"/>
    </xf>
    <xf numFmtId="168" fontId="23" fillId="43" borderId="14" applyProtection="0">
      <alignment horizontal="center" vertical="center"/>
    </xf>
    <xf numFmtId="0" fontId="17" fillId="0" borderId="0">
      <alignment horizontal="left" vertical="center" wrapText="1" indent="1"/>
    </xf>
    <xf numFmtId="0" fontId="15" fillId="0" borderId="0" applyNumberFormat="0" applyFont="0" applyFill="0" applyBorder="0">
      <alignment horizontal="left" vertical="top" wrapText="1" indent="1"/>
    </xf>
    <xf numFmtId="0" fontId="15" fillId="0" borderId="15" applyNumberFormat="0" applyFont="0" applyFill="0">
      <alignment horizontal="left" vertical="top" wrapText="1" indent="1"/>
    </xf>
    <xf numFmtId="0" fontId="21" fillId="0" borderId="0">
      <alignment horizontal="left" vertical="center" wrapText="1" indent="1"/>
    </xf>
    <xf numFmtId="168" fontId="20" fillId="38" borderId="14" applyNumberFormat="0" applyFont="0" applyBorder="0" applyAlignment="0">
      <alignment horizontal="center" vertical="center"/>
    </xf>
    <xf numFmtId="168" fontId="20" fillId="39" borderId="14" applyNumberFormat="0" applyFont="0" applyBorder="0" applyAlignment="0">
      <alignment horizontal="center" vertical="center"/>
    </xf>
    <xf numFmtId="168" fontId="20" fillId="40" borderId="14" applyNumberFormat="0" applyFont="0" applyBorder="0" applyAlignment="0">
      <alignment horizontal="center" vertical="center"/>
    </xf>
    <xf numFmtId="168" fontId="20" fillId="41" borderId="14" applyNumberFormat="0" applyFont="0" applyBorder="0" applyAlignment="0">
      <alignment horizontal="center" vertical="center"/>
    </xf>
    <xf numFmtId="168" fontId="20" fillId="36" borderId="14" applyNumberFormat="0" applyFont="0" applyBorder="0" applyAlignment="0">
      <alignment horizontal="center" vertical="center"/>
    </xf>
    <xf numFmtId="168" fontId="20" fillId="37" borderId="14" applyNumberFormat="0" applyFont="0" applyBorder="0" applyAlignment="0">
      <alignment horizontal="center" vertical="center"/>
    </xf>
    <xf numFmtId="168" fontId="20" fillId="42" borderId="14" applyNumberFormat="0" applyFont="0" applyBorder="0" applyAlignment="0">
      <alignment horizontal="center" vertical="center"/>
    </xf>
    <xf numFmtId="167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10" borderId="7" applyNumberFormat="0" applyFont="0" applyAlignment="0" applyProtection="0"/>
    <xf numFmtId="166" fontId="1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1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25" fillId="3" borderId="12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" fontId="13" fillId="0" borderId="1" xfId="0" quotePrefix="1" applyNumberFormat="1" applyFont="1" applyBorder="1" applyAlignment="1">
      <alignment horizontal="left"/>
    </xf>
    <xf numFmtId="1" fontId="13" fillId="0" borderId="2" xfId="0" quotePrefix="1" applyNumberFormat="1" applyFont="1" applyBorder="1" applyAlignment="1">
      <alignment horizontal="left"/>
    </xf>
    <xf numFmtId="1" fontId="13" fillId="0" borderId="1" xfId="0" applyNumberFormat="1" applyFont="1" applyBorder="1" applyAlignment="1">
      <alignment horizontal="left" wrapText="1"/>
    </xf>
    <xf numFmtId="0" fontId="13" fillId="0" borderId="1" xfId="0" quotePrefix="1" applyFont="1" applyBorder="1"/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" fontId="13" fillId="0" borderId="2" xfId="0" applyNumberFormat="1" applyFont="1" applyBorder="1" applyAlignment="1">
      <alignment horizontal="left"/>
    </xf>
    <xf numFmtId="0" fontId="0" fillId="0" borderId="2" xfId="0" applyBorder="1"/>
    <xf numFmtId="0" fontId="25" fillId="0" borderId="1" xfId="0" applyFont="1" applyBorder="1" applyAlignment="1">
      <alignment horizontal="center"/>
    </xf>
    <xf numFmtId="0" fontId="0" fillId="0" borderId="9" xfId="0" applyBorder="1"/>
    <xf numFmtId="0" fontId="25" fillId="0" borderId="1" xfId="0" applyFont="1" applyBorder="1" applyAlignment="1">
      <alignment horizontal="left"/>
    </xf>
    <xf numFmtId="1" fontId="13" fillId="0" borderId="0" xfId="0" quotePrefix="1" applyNumberFormat="1" applyFont="1" applyAlignment="1">
      <alignment horizontal="left"/>
    </xf>
    <xf numFmtId="0" fontId="13" fillId="0" borderId="0" xfId="0" quotePrefix="1" applyFont="1"/>
    <xf numFmtId="1" fontId="25" fillId="0" borderId="1" xfId="0" applyNumberFormat="1" applyFont="1" applyBorder="1" applyAlignment="1">
      <alignment horizontal="left"/>
    </xf>
    <xf numFmtId="1" fontId="25" fillId="0" borderId="2" xfId="0" applyNumberFormat="1" applyFont="1" applyBorder="1" applyAlignment="1">
      <alignment horizontal="left"/>
    </xf>
    <xf numFmtId="0" fontId="25" fillId="0" borderId="1" xfId="0" applyFont="1" applyBorder="1" applyAlignment="1">
      <alignment horizontal="center" vertical="center"/>
    </xf>
    <xf numFmtId="167" fontId="0" fillId="0" borderId="0" xfId="59" applyFont="1"/>
    <xf numFmtId="1" fontId="28" fillId="0" borderId="1" xfId="0" applyNumberFormat="1" applyFont="1" applyBorder="1" applyAlignment="1">
      <alignment horizontal="left"/>
    </xf>
    <xf numFmtId="0" fontId="25" fillId="0" borderId="1" xfId="0" applyFont="1" applyBorder="1"/>
    <xf numFmtId="0" fontId="2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left"/>
    </xf>
    <xf numFmtId="0" fontId="25" fillId="35" borderId="12" xfId="0" applyFont="1" applyFill="1" applyBorder="1" applyAlignment="1">
      <alignment horizontal="center" vertical="center"/>
    </xf>
    <xf numFmtId="0" fontId="25" fillId="35" borderId="12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25" fillId="3" borderId="19" xfId="0" applyFont="1" applyFill="1" applyBorder="1" applyAlignment="1">
      <alignment horizontal="center" vertical="center"/>
    </xf>
    <xf numFmtId="0" fontId="25" fillId="3" borderId="18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horizontal="center" vertical="center"/>
    </xf>
    <xf numFmtId="0" fontId="25" fillId="2" borderId="20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13" fillId="0" borderId="2" xfId="0" quotePrefix="1" applyFont="1" applyBorder="1"/>
    <xf numFmtId="0" fontId="13" fillId="0" borderId="2" xfId="0" applyFont="1" applyBorder="1"/>
    <xf numFmtId="0" fontId="13" fillId="44" borderId="2" xfId="0" applyFont="1" applyFill="1" applyBorder="1"/>
    <xf numFmtId="1" fontId="27" fillId="0" borderId="1" xfId="0" applyNumberFormat="1" applyFont="1" applyBorder="1" applyAlignment="1">
      <alignment horizontal="left"/>
    </xf>
    <xf numFmtId="0" fontId="25" fillId="0" borderId="2" xfId="0" applyFont="1" applyBorder="1"/>
    <xf numFmtId="1" fontId="13" fillId="0" borderId="11" xfId="0" quotePrefix="1" applyNumberFormat="1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3" fillId="0" borderId="9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1" fontId="13" fillId="0" borderId="17" xfId="0" quotePrefix="1" applyNumberFormat="1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0" fillId="0" borderId="0" xfId="0" applyAlignment="1">
      <alignment wrapText="1"/>
    </xf>
    <xf numFmtId="4" fontId="0" fillId="0" borderId="0" xfId="0" applyNumberFormat="1"/>
    <xf numFmtId="10" fontId="0" fillId="0" borderId="0" xfId="61" applyNumberFormat="1" applyFont="1"/>
    <xf numFmtId="0" fontId="25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wrapText="1"/>
    </xf>
    <xf numFmtId="0" fontId="25" fillId="0" borderId="1" xfId="0" applyFont="1" applyBorder="1" applyAlignment="1">
      <alignment horizontal="left" wrapText="1"/>
    </xf>
    <xf numFmtId="1" fontId="31" fillId="0" borderId="1" xfId="0" applyNumberFormat="1" applyFont="1" applyBorder="1" applyAlignment="1">
      <alignment horizontal="left"/>
    </xf>
    <xf numFmtId="0" fontId="32" fillId="0" borderId="1" xfId="0" applyFont="1" applyBorder="1" applyAlignment="1">
      <alignment horizontal="left" vertical="center"/>
    </xf>
    <xf numFmtId="4" fontId="33" fillId="0" borderId="0" xfId="0" applyNumberFormat="1" applyFont="1"/>
    <xf numFmtId="4" fontId="0" fillId="0" borderId="0" xfId="0" applyNumberFormat="1" applyAlignment="1">
      <alignment horizontal="center"/>
    </xf>
    <xf numFmtId="0" fontId="14" fillId="0" borderId="1" xfId="0" quotePrefix="1" applyFont="1" applyBorder="1"/>
    <xf numFmtId="1" fontId="25" fillId="0" borderId="2" xfId="0" applyNumberFormat="1" applyFont="1" applyBorder="1" applyAlignment="1">
      <alignment horizontal="center"/>
    </xf>
    <xf numFmtId="43" fontId="0" fillId="0" borderId="0" xfId="0" applyNumberFormat="1"/>
    <xf numFmtId="1" fontId="25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wrapText="1"/>
    </xf>
    <xf numFmtId="1" fontId="25" fillId="0" borderId="11" xfId="0" quotePrefix="1" applyNumberFormat="1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0" fillId="44" borderId="1" xfId="0" applyFill="1" applyBorder="1" applyAlignment="1">
      <alignment horizontal="left" vertical="center"/>
    </xf>
    <xf numFmtId="0" fontId="0" fillId="44" borderId="1" xfId="0" applyFill="1" applyBorder="1"/>
    <xf numFmtId="0" fontId="0" fillId="44" borderId="2" xfId="0" applyFill="1" applyBorder="1"/>
    <xf numFmtId="0" fontId="25" fillId="0" borderId="17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1" fontId="25" fillId="0" borderId="1" xfId="0" applyNumberFormat="1" applyFont="1" applyBorder="1" applyAlignment="1">
      <alignment horizontal="center"/>
    </xf>
    <xf numFmtId="0" fontId="25" fillId="0" borderId="2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/>
    </xf>
    <xf numFmtId="0" fontId="0" fillId="44" borderId="2" xfId="0" applyFill="1" applyBorder="1" applyAlignment="1">
      <alignment horizontal="left" vertical="center"/>
    </xf>
    <xf numFmtId="1" fontId="28" fillId="0" borderId="2" xfId="0" applyNumberFormat="1" applyFont="1" applyBorder="1" applyAlignment="1">
      <alignment horizontal="left"/>
    </xf>
    <xf numFmtId="0" fontId="13" fillId="0" borderId="2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left"/>
    </xf>
    <xf numFmtId="1" fontId="25" fillId="0" borderId="2" xfId="0" applyNumberFormat="1" applyFont="1" applyBorder="1" applyAlignment="1">
      <alignment horizontal="center" vertical="center"/>
    </xf>
    <xf numFmtId="49" fontId="13" fillId="0" borderId="1" xfId="0" applyNumberFormat="1" applyFont="1" applyBorder="1"/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" fontId="25" fillId="0" borderId="17" xfId="0" quotePrefix="1" applyNumberFormat="1" applyFont="1" applyBorder="1" applyAlignment="1">
      <alignment horizontal="left"/>
    </xf>
  </cellXfs>
  <cellStyles count="62">
    <cellStyle name="20% - Ênfase1" xfId="12" builtinId="30" customBuiltin="1"/>
    <cellStyle name="20% - Ênfase2" xfId="16" builtinId="34" customBuiltin="1"/>
    <cellStyle name="20% - Ênfase3" xfId="20" builtinId="38" customBuiltin="1"/>
    <cellStyle name="20% - Ênfase4" xfId="24" builtinId="42" customBuiltin="1"/>
    <cellStyle name="20% - Ênfase5" xfId="28" builtinId="46" customBuiltin="1"/>
    <cellStyle name="20% - Ênfase6" xfId="32" builtinId="50" customBuiltin="1"/>
    <cellStyle name="40% - Ênfase1" xfId="13" builtinId="31" customBuiltin="1"/>
    <cellStyle name="40% - Ênfase2" xfId="17" builtinId="35" customBuiltin="1"/>
    <cellStyle name="40% - Ênfase3" xfId="21" builtinId="39" customBuiltin="1"/>
    <cellStyle name="40% - Ênfase4" xfId="25" builtinId="43" customBuiltin="1"/>
    <cellStyle name="40% - Ênfase5" xfId="29" builtinId="47" customBuiltin="1"/>
    <cellStyle name="40% - Ênfase6" xfId="33" builtinId="51" customBuiltin="1"/>
    <cellStyle name="60% - Ênfase1" xfId="14" builtinId="32" customBuiltin="1"/>
    <cellStyle name="60% - Ênfase2" xfId="18" builtinId="36" customBuiltin="1"/>
    <cellStyle name="60% - Ênfase3" xfId="22" builtinId="40" customBuiltin="1"/>
    <cellStyle name="60% - Ênfase4" xfId="26" builtinId="44" customBuiltin="1"/>
    <cellStyle name="60% - Ênfase5" xfId="30" builtinId="48" customBuiltin="1"/>
    <cellStyle name="60% - Ênfase6" xfId="34" builtinId="52" customBuiltin="1"/>
    <cellStyle name="Bom" xfId="1" builtinId="26" customBuiltin="1"/>
    <cellStyle name="Borda direita" xfId="43" xr:uid="{95DAD8B5-847E-4AE7-B0B8-7C6FED3AA253}"/>
    <cellStyle name="Célula de Verificação" xfId="7" builtinId="23" customBuiltin="1"/>
    <cellStyle name="Célula Vinculada" xfId="6" builtinId="24" customBuiltin="1"/>
    <cellStyle name="Cor dia 1" xfId="51" xr:uid="{8A7E2166-3E07-4107-BEE5-387A9D19BBDD}"/>
    <cellStyle name="Cor dia 2" xfId="50" xr:uid="{736834D7-D6DF-4A8C-8989-A5D7F38F241F}"/>
    <cellStyle name="Cor dia 3" xfId="49" xr:uid="{7EBB73A7-3027-455A-87A1-E80B28AC4A55}"/>
    <cellStyle name="Cor dia 4" xfId="48" xr:uid="{757E987C-0143-4E1E-9AC2-FE678AE51C94}"/>
    <cellStyle name="Cor dia 5" xfId="47" xr:uid="{4A64B88E-0ED6-443B-956D-6FFB3ADC305B}"/>
    <cellStyle name="Cor dia 6" xfId="46" xr:uid="{F979CF8E-4DD2-41FB-AE98-7D75A449522D}"/>
    <cellStyle name="Cor dia 7" xfId="45" xr:uid="{2DF424FA-0C8F-4B04-B829-D515A37928C2}"/>
    <cellStyle name="Detalhes da Tabela" xfId="44" xr:uid="{593E8752-A75D-4747-BDF4-7BE213657BCB}"/>
    <cellStyle name="Ênfase1" xfId="11" builtinId="29" customBuiltin="1"/>
    <cellStyle name="Ênfase2" xfId="15" builtinId="33" customBuiltin="1"/>
    <cellStyle name="Ênfase3" xfId="19" builtinId="37" customBuiltin="1"/>
    <cellStyle name="Ênfase4" xfId="23" builtinId="41" customBuiltin="1"/>
    <cellStyle name="Ênfase5" xfId="27" builtinId="45" customBuiltin="1"/>
    <cellStyle name="Ênfase6" xfId="31" builtinId="49" customBuiltin="1"/>
    <cellStyle name="Entrada" xfId="4" builtinId="20" customBuiltin="1"/>
    <cellStyle name="Estilo de coluna de tarefa" xfId="41" xr:uid="{87E753B3-E2D6-4B98-8F71-56E6123B081D}"/>
    <cellStyle name="Moeda [0] 2" xfId="55" xr:uid="{393CBAC5-048C-4D18-81EF-14226EE18019}"/>
    <cellStyle name="Moeda 2" xfId="54" xr:uid="{8E54F6B1-3D5B-4E42-9BDD-F8D063C6C9D9}"/>
    <cellStyle name="Moeda 3" xfId="58" xr:uid="{A382CFD3-4D6D-4E95-874C-BC16DDD4047B}"/>
    <cellStyle name="Neutro" xfId="3" builtinId="28" customBuiltin="1"/>
    <cellStyle name="Normal" xfId="0" builtinId="0"/>
    <cellStyle name="Normal 2" xfId="35" xr:uid="{7CE114C6-6C61-4F32-9B16-8D851FDD6365}"/>
    <cellStyle name="Nota 2" xfId="57" xr:uid="{64F655D3-E54B-437C-8081-33E0495A1585}"/>
    <cellStyle name="Porcentagem" xfId="61" builtinId="5"/>
    <cellStyle name="Porcentagem 2" xfId="56" xr:uid="{BAEB1703-DA66-455C-8ACA-0CCA3EB1F19B}"/>
    <cellStyle name="Ruim" xfId="2" builtinId="27" customBuiltin="1"/>
    <cellStyle name="Saída" xfId="5" builtinId="21" customBuiltin="1"/>
    <cellStyle name="Separador de milhares [0] 2" xfId="53" xr:uid="{2354C2C8-BEFF-406D-A3B3-484550F7DA29}"/>
    <cellStyle name="Texto de Aviso" xfId="8" builtinId="11" customBuiltin="1"/>
    <cellStyle name="Texto Explicativo" xfId="9" builtinId="53" customBuiltin="1"/>
    <cellStyle name="Título 1 2" xfId="37" xr:uid="{9011DE5A-C70C-47CE-BCF0-80752E9AEE27}"/>
    <cellStyle name="Título 2 2" xfId="38" xr:uid="{4370D301-B8AA-45B6-B020-4DA910BA254E}"/>
    <cellStyle name="Título 3 2" xfId="39" xr:uid="{5AFC197C-FA3C-46FB-B238-000B421211EA}"/>
    <cellStyle name="Título 4 2" xfId="40" xr:uid="{5E79820D-ABBD-4542-973F-B3C1407E356F}"/>
    <cellStyle name="Título 5" xfId="36" xr:uid="{AA41D0AF-69A3-4C0B-A1F3-00198E648A76}"/>
    <cellStyle name="Título da tarefa" xfId="42" xr:uid="{CC5530AD-4AB1-4A2B-AF1F-D2031D78932C}"/>
    <cellStyle name="Total" xfId="10" builtinId="25" customBuiltin="1"/>
    <cellStyle name="Vírgula" xfId="59" builtinId="3"/>
    <cellStyle name="Vírgula 2" xfId="52" xr:uid="{C686E34E-561C-4FB0-899A-194963A3116C}"/>
    <cellStyle name="Vírgula 3" xfId="60" xr:uid="{66787890-AE6C-4CE2-AE02-FAD10671EBD4}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  <color auto="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gradientFill degree="90">
          <stop position="0">
            <color theme="0"/>
          </stop>
          <stop position="1">
            <color theme="0"/>
          </stop>
        </gradient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gradientFill degree="90">
          <stop position="0">
            <color theme="0"/>
          </stop>
          <stop position="1">
            <color theme="0"/>
          </stop>
        </gradient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0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</font>
      <border>
        <left style="medium">
          <color theme="0" tint="-0.34998626667073579"/>
        </left>
        <right style="medium">
          <color theme="0" tint="-0.34998626667073579"/>
        </right>
        <top style="medium">
          <color theme="0" tint="-0.34998626667073579"/>
        </top>
        <bottom style="thick">
          <color theme="0" tint="-0.34998626667073579"/>
        </bottom>
        <vertical/>
        <horizontal style="dotted">
          <color theme="0" tint="-0.34998626667073579"/>
        </horizontal>
      </border>
    </dxf>
  </dxfs>
  <tableStyles count="2" defaultTableStyle="TableStyleMedium2" defaultPivotStyle="PivotStyleLight16">
    <tableStyle name="Invisible" pivot="0" table="0" count="0" xr9:uid="{E4A82106-2E54-4669-8539-0F985AC1A454}"/>
    <tableStyle name="Planejador" pivot="0" count="1" xr9:uid="{3CE315EF-5CF2-4304-8213-1B114AB67288}">
      <tableStyleElement type="wholeTable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E9F92-1D33-4C15-B30C-5BE6DD19725A}" name="TBL_BAIXADA" displayName="TBL_BAIXADA" ref="B2:G51" totalsRowShown="0" headerRowDxfId="51" dataDxfId="49" headerRowBorderDxfId="50" tableBorderDxfId="48" totalsRowBorderDxfId="47">
  <autoFilter ref="B2:G51" xr:uid="{CFDE9F92-1D33-4C15-B30C-5BE6DD19725A}">
    <filterColumn colId="2">
      <filters>
        <filter val="CARLOS FERNANDES"/>
      </filters>
    </filterColumn>
  </autoFilter>
  <sortState xmlns:xlrd2="http://schemas.microsoft.com/office/spreadsheetml/2017/richdata2" ref="B3:G50">
    <sortCondition ref="D2:D50"/>
  </sortState>
  <tableColumns count="6">
    <tableColumn id="2" xr3:uid="{019F32D2-C233-43C9-9576-4AE595F1C1BA}" name="SEI" dataDxfId="46"/>
    <tableColumn id="1" xr3:uid="{AEDA410C-7924-46EC-AEAB-7AE262BECCD2}" name="FISCAL NOMEADO" dataDxfId="45"/>
    <tableColumn id="7" xr3:uid="{19466E79-BFE7-4E2E-A742-DD97531E2EF3}" name="GESTOR(A)_x000a_ATUANTE" dataDxfId="44"/>
    <tableColumn id="3" xr3:uid="{7880C9F9-C6BC-479F-9DA9-E17F6116251F}" name="STATUS" dataDxfId="43"/>
    <tableColumn id="4" xr3:uid="{DA47CCE5-2317-4B1E-8640-27A34A02D8B9}" name="MUNICIPIO" dataDxfId="42"/>
    <tableColumn id="5" xr3:uid="{DCC92333-101D-46D3-9AB3-309FAD98BBFB}" name="EMPRESA" dataDxfId="4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9282A1-F554-47CE-B1A2-7ECB428E2CEF}" name="Tabela2" displayName="Tabela2" ref="B2:G21" totalsRowShown="0" headerRowDxfId="40" dataDxfId="39" tableBorderDxfId="38">
  <autoFilter ref="B2:G21" xr:uid="{509282A1-F554-47CE-B1A2-7ECB428E2CEF}"/>
  <sortState xmlns:xlrd2="http://schemas.microsoft.com/office/spreadsheetml/2017/richdata2" ref="B3:G20">
    <sortCondition ref="D2:D20"/>
  </sortState>
  <tableColumns count="6">
    <tableColumn id="1" xr3:uid="{16E9EBD3-F35D-4598-A9F2-0A4D20432CE9}" name="SEI" dataDxfId="37"/>
    <tableColumn id="2" xr3:uid="{E30337A4-09C3-4048-9E77-97431DB2FF42}" name="FISCAL NOMEADO" dataDxfId="36"/>
    <tableColumn id="3" xr3:uid="{E188BB43-7D82-4633-A725-9027F38B6D00}" name="GESTOR(A)_x000a_ATUANTE" dataDxfId="35"/>
    <tableColumn id="4" xr3:uid="{8E3CCA43-C0CA-43A2-BFF6-C18CE15835DE}" name="STATUS" dataDxfId="34"/>
    <tableColumn id="5" xr3:uid="{4BDB1FC4-3FA9-4D47-842C-749A9777B396}" name="MUNICIPIO" dataDxfId="33"/>
    <tableColumn id="6" xr3:uid="{080468F4-AE50-4958-86EA-366972343A8C}" name="EMPRESA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25E509-0D21-4897-AEA1-45396A5B8904}" name="Tabela3" displayName="Tabela3" ref="B2:G31" totalsRowShown="0" headerRowDxfId="31" dataDxfId="30" tableBorderDxfId="29">
  <autoFilter ref="B2:G31" xr:uid="{B825E509-0D21-4897-AEA1-45396A5B8904}"/>
  <sortState xmlns:xlrd2="http://schemas.microsoft.com/office/spreadsheetml/2017/richdata2" ref="B3:G31">
    <sortCondition ref="D2:D31"/>
  </sortState>
  <tableColumns count="6">
    <tableColumn id="1" xr3:uid="{AF3D376D-5669-42C7-85B7-D133DE0C7C9F}" name="SEI" dataDxfId="28"/>
    <tableColumn id="2" xr3:uid="{51805C44-CC05-4045-9BCE-C493679844E5}" name="FISCAL NOMEADO" dataDxfId="27"/>
    <tableColumn id="3" xr3:uid="{5E18CB63-80F1-40CE-AC25-4FF6D6C56801}" name="GESTOR(A) ATUANTE" dataDxfId="26"/>
    <tableColumn id="4" xr3:uid="{8A899838-F31E-4B62-AD60-CACBA61F7301}" name="STATUS" dataDxfId="25"/>
    <tableColumn id="5" xr3:uid="{A189C6A4-301D-4BC4-893D-C571D3C65C4F}" name="MUNICIPIO" dataDxfId="24"/>
    <tableColumn id="6" xr3:uid="{1FE96F05-55E0-47E2-950A-C4FE6590F71E}" name="EMPRESA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EEB8F3-2A08-4F77-A71A-F14F310E745B}" name="Tabela59" displayName="Tabela59" ref="B2:G21" totalsRowShown="0" headerRowDxfId="22" headerRowBorderDxfId="21" tableBorderDxfId="20" totalsRowBorderDxfId="19">
  <autoFilter ref="B2:G21" xr:uid="{230F5E5D-9A04-4FBE-BFDF-7F11F0AC71C0}"/>
  <sortState xmlns:xlrd2="http://schemas.microsoft.com/office/spreadsheetml/2017/richdata2" ref="B5:G10">
    <sortCondition ref="D2:D21"/>
  </sortState>
  <tableColumns count="6">
    <tableColumn id="1" xr3:uid="{1B0B707C-42D7-439C-BC86-F2074086CDFA}" name="SEI" dataDxfId="0"/>
    <tableColumn id="2" xr3:uid="{E4E4A98E-5F6A-4D1A-BF5C-90DB3AF4D029}" name="FISCAL NOMEADO" dataDxfId="1"/>
    <tableColumn id="3" xr3:uid="{3F530A0F-746C-40A5-87E4-3EF4BC754B35}" name="GESTOR(A)_x000a_ATUANTE" dataDxfId="18"/>
    <tableColumn id="4" xr3:uid="{6289C995-291C-4CD2-9F38-F7B7C1C4C572}" name="STATUS" dataDxfId="17"/>
    <tableColumn id="5" xr3:uid="{C32C9B37-692D-406F-BC6A-231C43E51674}" name="MUNICIPIO" dataDxfId="16"/>
    <tableColumn id="6" xr3:uid="{AEFC288F-DB80-4821-8DAC-8848204495B7}" name="EMPRESA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0F5E5D-9A04-4FBE-BFDF-7F11F0AC71C0}" name="Tabela5" displayName="Tabela5" ref="B2:G27" totalsRowShown="0" headerRowDxfId="59" headerRowBorderDxfId="58" tableBorderDxfId="57" totalsRowBorderDxfId="56">
  <autoFilter ref="B2:G27" xr:uid="{230F5E5D-9A04-4FBE-BFDF-7F11F0AC71C0}"/>
  <sortState xmlns:xlrd2="http://schemas.microsoft.com/office/spreadsheetml/2017/richdata2" ref="B7:G23">
    <sortCondition ref="D2:D26"/>
  </sortState>
  <tableColumns count="6">
    <tableColumn id="1" xr3:uid="{8FECF49A-25BA-405F-A561-286D71FB284B}" name="SEI" dataDxfId="2"/>
    <tableColumn id="2" xr3:uid="{88A1DC3F-1E69-48FA-B7AB-F895C771F55E}" name="FISCAL NOMEADO" dataDxfId="3"/>
    <tableColumn id="3" xr3:uid="{B977B564-9125-4E72-A174-DD668115187D}" name="GESTOR(A)_x000a_ATUANTE" dataDxfId="55"/>
    <tableColumn id="4" xr3:uid="{6A4D0185-1909-4BA9-A2C1-58CDBA8CD45C}" name="STATUS" dataDxfId="54"/>
    <tableColumn id="5" xr3:uid="{539417AD-B8A4-4898-AB74-66F05A603AF4}" name="MUNICIPIO" dataDxfId="53"/>
    <tableColumn id="6" xr3:uid="{235BE65E-B850-4BB7-8E87-322FA0E9FAE2}" name="EMPRESA" dataDxfId="5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9523AD-7502-4955-9305-1317053F81AC}" name="TBL_AUX_COMISSAO" displayName="TBL_AUX_COMISSAO" ref="A1:F130" totalsRowShown="0" headerRowDxfId="14" dataDxfId="12" headerRowBorderDxfId="13" tableBorderDxfId="11" totalsRowBorderDxfId="10">
  <autoFilter ref="A1:F130" xr:uid="{219523AD-7502-4955-9305-1317053F81AC}"/>
  <sortState xmlns:xlrd2="http://schemas.microsoft.com/office/spreadsheetml/2017/richdata2" ref="A2:F121">
    <sortCondition ref="A1:A124"/>
  </sortState>
  <tableColumns count="6">
    <tableColumn id="1" xr3:uid="{6940CE63-D3EF-4410-99DC-5338DACC9347}" name="SEI" dataDxfId="9"/>
    <tableColumn id="2" xr3:uid="{BC273B88-930A-4795-B862-FBC8E6F6BDFE}" name="GESTOR" dataDxfId="8">
      <calculatedColumnFormula>UPPER(TRIM(UPPER(IFERROR(VLOOKUP(A2,INDIRECT("'BAIXADA'!$B$3:$I$51"),3,FALSE),
IFERROR(VLOOKUP(A2,INDIRECT("'NORTE'!$B$3:$I$21"),3,FALSE),
IFERROR(VLOOKUP(A2,INDIRECT("'SUL'!$B$3:$I$31"),3,FALSE),
IFERROR(VLOOKUP(A2,INDIRECT("'CONTIGENCIA'!$B$3:$I$22"),3,FALSE),
IFERROR(VLOOKUP(A2,INDIRECT("'ESPECIAIS'!$B$3:$I$27"),3,FALSE),""))))))))</calculatedColumnFormula>
    </tableColumn>
    <tableColumn id="3" xr3:uid="{2DD541AF-D366-4FA1-934F-2D706DEB3424}" name="REGIAO" dataDxfId="7">
      <calculatedColumnFormula>IF(OR(B2="CARLOS FERNANDES", B2="GISELLE G. FONSECA"), "BAIXADA",
 IF(OR(B2="ISADORA ROSALINO", B2="JEHNIFFER PIRES"), "NORTE",
 IF(OR(B2="LUIZ FILHO", B2="MARCUS", B2="JAQUELINE PASTÓRIO"), "SUL",
 IF(OR(B2="AIMAR FILHO", B2="ERICK HYLARIO", B2="IGOR CARNEIRO", B2="CESAR", B2="DANRLEI"), "ESPECIAIS",""))))</calculatedColumnFormula>
    </tableColumn>
    <tableColumn id="4" xr3:uid="{48CC14BF-DA39-4E7A-9D30-3BF4E557740A}" name="Coluna1" dataDxfId="6"/>
    <tableColumn id="5" xr3:uid="{73F6C358-23B2-4118-8542-3EF0D7731680}" name="STATUS" dataDxfId="5">
      <calculatedColumnFormula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calculatedColumnFormula>
    </tableColumn>
    <tableColumn id="6" xr3:uid="{42155D96-D90A-49EF-9ADB-3B70FF87E628}" name="LOCAL" dataDxfId="4">
      <calculatedColumnFormula>UPPER(IF(SUM(COUNTIF(BAIXADA!B:B,A2),COUNTIF(NORTE!B:B,A2),COUNTIF(SUL!B:B,A2))&gt;0,"CIVIS",
IF(COUNTIF(CONTIGENCIA!B:B,A2)&gt;0,"CONTINGENCIA",IF(COUNTIF(ESPECIAIS!B:B,A2)&gt;0,"ESPECIAIS",""))))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BD80-2FBA-444A-B434-052B47DD7E2E}">
  <sheetPr codeName="Planilha1"/>
  <dimension ref="A1:G62"/>
  <sheetViews>
    <sheetView showGridLines="0" zoomScaleNormal="100" zoomScaleSheetLayoutView="100" workbookViewId="0">
      <selection activeCell="B36" sqref="A1:G62"/>
    </sheetView>
  </sheetViews>
  <sheetFormatPr defaultRowHeight="15" x14ac:dyDescent="0.25"/>
  <cols>
    <col min="1" max="1" width="3.42578125" style="2" customWidth="1"/>
    <col min="2" max="2" width="18.7109375" style="2" bestFit="1" customWidth="1"/>
    <col min="3" max="3" width="32.5703125" style="2" bestFit="1" customWidth="1"/>
    <col min="4" max="4" width="16.28515625" style="2" bestFit="1" customWidth="1"/>
    <col min="5" max="5" width="16.5703125" style="2" bestFit="1" customWidth="1"/>
    <col min="6" max="6" width="17.28515625" style="2" bestFit="1" customWidth="1"/>
    <col min="7" max="7" width="28.85546875" style="2" bestFit="1" customWidth="1"/>
    <col min="8" max="8" width="12.42578125" customWidth="1"/>
  </cols>
  <sheetData>
    <row r="1" spans="1:7" ht="24.95" customHeight="1" x14ac:dyDescent="0.25">
      <c r="A1" s="4"/>
      <c r="B1" s="96" t="s">
        <v>142</v>
      </c>
      <c r="C1" s="97"/>
      <c r="D1" s="97"/>
      <c r="E1" s="97"/>
      <c r="F1" s="97"/>
      <c r="G1" s="97"/>
    </row>
    <row r="2" spans="1:7" ht="25.5" x14ac:dyDescent="0.25">
      <c r="B2" s="39" t="s">
        <v>35</v>
      </c>
      <c r="C2" s="39" t="s">
        <v>228</v>
      </c>
      <c r="D2" s="40" t="s">
        <v>229</v>
      </c>
      <c r="E2" s="39" t="s">
        <v>36</v>
      </c>
      <c r="F2" s="39" t="s">
        <v>37</v>
      </c>
      <c r="G2" s="39" t="s">
        <v>49</v>
      </c>
    </row>
    <row r="3" spans="1:7" x14ac:dyDescent="0.25">
      <c r="A3" s="1">
        <v>1</v>
      </c>
      <c r="B3" s="16" t="s">
        <v>111</v>
      </c>
      <c r="C3" s="7" t="s">
        <v>294</v>
      </c>
      <c r="D3" s="6" t="s">
        <v>286</v>
      </c>
      <c r="E3" s="30" t="s">
        <v>64</v>
      </c>
      <c r="F3" s="7" t="s">
        <v>92</v>
      </c>
      <c r="G3" s="7" t="s">
        <v>112</v>
      </c>
    </row>
    <row r="4" spans="1:7" hidden="1" x14ac:dyDescent="0.25">
      <c r="A4" s="1">
        <v>2</v>
      </c>
      <c r="B4" s="16" t="s">
        <v>106</v>
      </c>
      <c r="C4" s="7" t="s">
        <v>307</v>
      </c>
      <c r="D4" s="6" t="s">
        <v>304</v>
      </c>
      <c r="E4" s="34" t="s">
        <v>193</v>
      </c>
      <c r="F4" s="7" t="s">
        <v>92</v>
      </c>
      <c r="G4" s="7" t="s">
        <v>107</v>
      </c>
    </row>
    <row r="5" spans="1:7" hidden="1" x14ac:dyDescent="0.25">
      <c r="A5" s="1">
        <v>3</v>
      </c>
      <c r="B5" s="16" t="s">
        <v>52</v>
      </c>
      <c r="C5" s="7" t="s">
        <v>284</v>
      </c>
      <c r="D5" s="7" t="s">
        <v>308</v>
      </c>
      <c r="E5" s="30" t="s">
        <v>50</v>
      </c>
      <c r="F5" s="7" t="s">
        <v>31</v>
      </c>
      <c r="G5" s="7" t="s">
        <v>48</v>
      </c>
    </row>
    <row r="6" spans="1:7" x14ac:dyDescent="0.25">
      <c r="A6" s="1">
        <v>4</v>
      </c>
      <c r="B6" s="16" t="s">
        <v>102</v>
      </c>
      <c r="C6" s="7" t="s">
        <v>309</v>
      </c>
      <c r="D6" s="6" t="s">
        <v>286</v>
      </c>
      <c r="E6" s="53" t="s">
        <v>194</v>
      </c>
      <c r="F6" s="7" t="s">
        <v>92</v>
      </c>
      <c r="G6" s="7" t="s">
        <v>103</v>
      </c>
    </row>
    <row r="7" spans="1:7" hidden="1" x14ac:dyDescent="0.25">
      <c r="A7" s="1">
        <v>5</v>
      </c>
      <c r="B7" s="16" t="s">
        <v>213</v>
      </c>
      <c r="C7" s="7" t="s">
        <v>314</v>
      </c>
      <c r="D7" s="7" t="s">
        <v>304</v>
      </c>
      <c r="E7" s="53" t="s">
        <v>194</v>
      </c>
      <c r="F7" s="7" t="s">
        <v>31</v>
      </c>
      <c r="G7" s="7" t="s">
        <v>214</v>
      </c>
    </row>
    <row r="8" spans="1:7" x14ac:dyDescent="0.25">
      <c r="A8" s="1">
        <v>6</v>
      </c>
      <c r="B8" s="16" t="s">
        <v>176</v>
      </c>
      <c r="C8" s="7" t="s">
        <v>313</v>
      </c>
      <c r="D8" s="6" t="s">
        <v>286</v>
      </c>
      <c r="E8" s="34" t="s">
        <v>193</v>
      </c>
      <c r="F8" s="7" t="s">
        <v>166</v>
      </c>
      <c r="G8" s="18" t="s">
        <v>167</v>
      </c>
    </row>
    <row r="9" spans="1:7" x14ac:dyDescent="0.25">
      <c r="A9" s="1">
        <v>7</v>
      </c>
      <c r="B9" s="7" t="s">
        <v>262</v>
      </c>
      <c r="C9" s="7" t="s">
        <v>294</v>
      </c>
      <c r="D9" s="6" t="s">
        <v>286</v>
      </c>
      <c r="E9" s="30" t="s">
        <v>64</v>
      </c>
      <c r="F9" s="7" t="s">
        <v>149</v>
      </c>
      <c r="G9" s="7" t="s">
        <v>263</v>
      </c>
    </row>
    <row r="10" spans="1:7" x14ac:dyDescent="0.25">
      <c r="A10" s="1">
        <v>8</v>
      </c>
      <c r="B10" s="16" t="s">
        <v>209</v>
      </c>
      <c r="C10" s="7" t="s">
        <v>285</v>
      </c>
      <c r="D10" s="7" t="s">
        <v>286</v>
      </c>
      <c r="E10" s="30" t="s">
        <v>194</v>
      </c>
      <c r="F10" s="7" t="s">
        <v>92</v>
      </c>
      <c r="G10" s="7" t="s">
        <v>210</v>
      </c>
    </row>
    <row r="11" spans="1:7" x14ac:dyDescent="0.25">
      <c r="A11" s="1">
        <v>9</v>
      </c>
      <c r="B11" s="16" t="s">
        <v>168</v>
      </c>
      <c r="C11" s="7" t="s">
        <v>316</v>
      </c>
      <c r="D11" s="6" t="s">
        <v>286</v>
      </c>
      <c r="E11" s="30" t="s">
        <v>235</v>
      </c>
      <c r="F11" s="7" t="s">
        <v>91</v>
      </c>
      <c r="G11" s="7" t="s">
        <v>99</v>
      </c>
    </row>
    <row r="12" spans="1:7" hidden="1" x14ac:dyDescent="0.25">
      <c r="A12" s="1">
        <v>10</v>
      </c>
      <c r="B12" s="7" t="s">
        <v>212</v>
      </c>
      <c r="C12" s="7" t="s">
        <v>314</v>
      </c>
      <c r="D12" s="7" t="s">
        <v>304</v>
      </c>
      <c r="E12" s="34" t="s">
        <v>193</v>
      </c>
      <c r="F12" s="7" t="s">
        <v>137</v>
      </c>
      <c r="G12" s="7" t="s">
        <v>238</v>
      </c>
    </row>
    <row r="13" spans="1:7" x14ac:dyDescent="0.25">
      <c r="A13" s="1">
        <v>11</v>
      </c>
      <c r="B13" s="16" t="s">
        <v>119</v>
      </c>
      <c r="C13" s="7" t="s">
        <v>316</v>
      </c>
      <c r="D13" s="6" t="s">
        <v>286</v>
      </c>
      <c r="E13" s="70" t="s">
        <v>254</v>
      </c>
      <c r="F13" s="7" t="s">
        <v>117</v>
      </c>
      <c r="G13" s="7" t="s">
        <v>118</v>
      </c>
    </row>
    <row r="14" spans="1:7" x14ac:dyDescent="0.25">
      <c r="A14" s="1">
        <v>12</v>
      </c>
      <c r="B14" s="16" t="s">
        <v>175</v>
      </c>
      <c r="C14" s="7" t="s">
        <v>295</v>
      </c>
      <c r="D14" s="6" t="s">
        <v>286</v>
      </c>
      <c r="E14" s="34" t="s">
        <v>193</v>
      </c>
      <c r="F14" s="7" t="s">
        <v>91</v>
      </c>
      <c r="G14" s="7" t="s">
        <v>93</v>
      </c>
    </row>
    <row r="15" spans="1:7" x14ac:dyDescent="0.25">
      <c r="A15" s="1">
        <v>13</v>
      </c>
      <c r="B15" s="16" t="s">
        <v>172</v>
      </c>
      <c r="C15" s="7" t="s">
        <v>316</v>
      </c>
      <c r="D15" s="6" t="s">
        <v>286</v>
      </c>
      <c r="E15" s="34" t="s">
        <v>193</v>
      </c>
      <c r="F15" s="7" t="s">
        <v>100</v>
      </c>
      <c r="G15" s="7" t="s">
        <v>85</v>
      </c>
    </row>
    <row r="16" spans="1:7" hidden="1" x14ac:dyDescent="0.25">
      <c r="A16" s="1">
        <v>14</v>
      </c>
      <c r="B16" s="16" t="s">
        <v>80</v>
      </c>
      <c r="C16" s="7" t="s">
        <v>285</v>
      </c>
      <c r="D16" s="7" t="s">
        <v>304</v>
      </c>
      <c r="E16" s="30" t="s">
        <v>194</v>
      </c>
      <c r="F16" s="7" t="s">
        <v>91</v>
      </c>
      <c r="G16" s="7" t="s">
        <v>85</v>
      </c>
    </row>
    <row r="17" spans="1:7" x14ac:dyDescent="0.25">
      <c r="A17" s="1">
        <v>15</v>
      </c>
      <c r="B17" s="16" t="s">
        <v>250</v>
      </c>
      <c r="C17" s="7" t="s">
        <v>295</v>
      </c>
      <c r="D17" s="6" t="s">
        <v>286</v>
      </c>
      <c r="E17" s="70" t="s">
        <v>194</v>
      </c>
      <c r="F17" s="7" t="s">
        <v>137</v>
      </c>
      <c r="G17" s="7" t="s">
        <v>249</v>
      </c>
    </row>
    <row r="18" spans="1:7" hidden="1" x14ac:dyDescent="0.25">
      <c r="A18" s="1">
        <v>16</v>
      </c>
      <c r="B18" s="16" t="s">
        <v>113</v>
      </c>
      <c r="C18" s="7" t="s">
        <v>298</v>
      </c>
      <c r="D18" s="6" t="s">
        <v>304</v>
      </c>
      <c r="E18" s="34" t="s">
        <v>193</v>
      </c>
      <c r="F18" s="7" t="s">
        <v>92</v>
      </c>
      <c r="G18" s="7" t="s">
        <v>114</v>
      </c>
    </row>
    <row r="19" spans="1:7" x14ac:dyDescent="0.25">
      <c r="A19" s="1">
        <v>17</v>
      </c>
      <c r="B19" s="16" t="s">
        <v>165</v>
      </c>
      <c r="C19" s="6" t="s">
        <v>95</v>
      </c>
      <c r="D19" s="6" t="s">
        <v>286</v>
      </c>
      <c r="E19" s="34" t="s">
        <v>193</v>
      </c>
      <c r="F19" s="8" t="s">
        <v>76</v>
      </c>
      <c r="G19" s="8" t="s">
        <v>77</v>
      </c>
    </row>
    <row r="20" spans="1:7" hidden="1" x14ac:dyDescent="0.25">
      <c r="A20" s="1">
        <v>18</v>
      </c>
      <c r="B20" s="16" t="s">
        <v>10</v>
      </c>
      <c r="C20" s="7" t="s">
        <v>309</v>
      </c>
      <c r="D20" s="7" t="s">
        <v>304</v>
      </c>
      <c r="E20" s="34" t="s">
        <v>193</v>
      </c>
      <c r="F20" s="7" t="s">
        <v>11</v>
      </c>
      <c r="G20" s="7" t="s">
        <v>42</v>
      </c>
    </row>
    <row r="21" spans="1:7" hidden="1" x14ac:dyDescent="0.25">
      <c r="A21" s="1">
        <v>19</v>
      </c>
      <c r="B21" s="16" t="s">
        <v>339</v>
      </c>
      <c r="C21" s="7" t="s">
        <v>309</v>
      </c>
      <c r="D21" s="7" t="s">
        <v>304</v>
      </c>
      <c r="E21" s="34" t="s">
        <v>193</v>
      </c>
      <c r="F21" s="7" t="s">
        <v>11</v>
      </c>
      <c r="G21" s="7" t="s">
        <v>340</v>
      </c>
    </row>
    <row r="22" spans="1:7" x14ac:dyDescent="0.25">
      <c r="A22" s="1">
        <v>20</v>
      </c>
      <c r="B22" s="16" t="s">
        <v>79</v>
      </c>
      <c r="C22" s="7" t="s">
        <v>310</v>
      </c>
      <c r="D22" s="7" t="s">
        <v>286</v>
      </c>
      <c r="E22" s="30" t="s">
        <v>125</v>
      </c>
      <c r="F22" s="7" t="s">
        <v>91</v>
      </c>
      <c r="G22" s="7" t="s">
        <v>85</v>
      </c>
    </row>
    <row r="23" spans="1:7" hidden="1" x14ac:dyDescent="0.25">
      <c r="A23" s="1">
        <v>21</v>
      </c>
      <c r="B23" s="16" t="s">
        <v>132</v>
      </c>
      <c r="C23" s="7" t="s">
        <v>296</v>
      </c>
      <c r="D23" s="7" t="s">
        <v>304</v>
      </c>
      <c r="E23" s="70" t="s">
        <v>254</v>
      </c>
      <c r="F23" s="7" t="s">
        <v>137</v>
      </c>
      <c r="G23" s="7" t="s">
        <v>138</v>
      </c>
    </row>
    <row r="24" spans="1:7" x14ac:dyDescent="0.25">
      <c r="A24" s="1">
        <v>22</v>
      </c>
      <c r="B24" s="16" t="s">
        <v>218</v>
      </c>
      <c r="C24" s="7" t="s">
        <v>294</v>
      </c>
      <c r="D24" s="7" t="s">
        <v>286</v>
      </c>
      <c r="E24" s="30" t="s">
        <v>235</v>
      </c>
      <c r="F24" s="7" t="s">
        <v>92</v>
      </c>
      <c r="G24" s="7" t="s">
        <v>138</v>
      </c>
    </row>
    <row r="25" spans="1:7" x14ac:dyDescent="0.25">
      <c r="A25" s="1">
        <v>23</v>
      </c>
      <c r="B25" s="16" t="s">
        <v>261</v>
      </c>
      <c r="C25" s="7" t="s">
        <v>295</v>
      </c>
      <c r="D25" s="7" t="s">
        <v>286</v>
      </c>
      <c r="E25" s="30" t="s">
        <v>64</v>
      </c>
      <c r="F25" s="7" t="s">
        <v>100</v>
      </c>
      <c r="G25" s="7" t="s">
        <v>138</v>
      </c>
    </row>
    <row r="26" spans="1:7" x14ac:dyDescent="0.25">
      <c r="A26" s="1">
        <v>24</v>
      </c>
      <c r="B26" s="16" t="s">
        <v>169</v>
      </c>
      <c r="C26" s="7" t="s">
        <v>316</v>
      </c>
      <c r="D26" s="6" t="s">
        <v>286</v>
      </c>
      <c r="E26" s="34" t="s">
        <v>193</v>
      </c>
      <c r="F26" s="7" t="s">
        <v>100</v>
      </c>
      <c r="G26" s="7" t="s">
        <v>101</v>
      </c>
    </row>
    <row r="27" spans="1:7" hidden="1" x14ac:dyDescent="0.25">
      <c r="A27" s="1">
        <v>25</v>
      </c>
      <c r="B27" s="16" t="s">
        <v>116</v>
      </c>
      <c r="C27" s="7" t="s">
        <v>315</v>
      </c>
      <c r="D27" s="7" t="s">
        <v>304</v>
      </c>
      <c r="E27" s="30" t="s">
        <v>50</v>
      </c>
      <c r="F27" s="7" t="s">
        <v>92</v>
      </c>
      <c r="G27" s="7" t="s">
        <v>84</v>
      </c>
    </row>
    <row r="28" spans="1:7" x14ac:dyDescent="0.25">
      <c r="A28" s="1">
        <v>26</v>
      </c>
      <c r="B28" s="16" t="s">
        <v>78</v>
      </c>
      <c r="C28" s="7" t="s">
        <v>323</v>
      </c>
      <c r="D28" s="7" t="s">
        <v>286</v>
      </c>
      <c r="E28" s="34" t="s">
        <v>193</v>
      </c>
      <c r="F28" s="7" t="s">
        <v>90</v>
      </c>
      <c r="G28" s="7" t="s">
        <v>84</v>
      </c>
    </row>
    <row r="29" spans="1:7" x14ac:dyDescent="0.25">
      <c r="A29" s="1">
        <v>27</v>
      </c>
      <c r="B29" s="16" t="s">
        <v>146</v>
      </c>
      <c r="C29" s="7" t="s">
        <v>294</v>
      </c>
      <c r="D29" s="6" t="s">
        <v>286</v>
      </c>
      <c r="E29" s="30" t="s">
        <v>64</v>
      </c>
      <c r="F29" s="7" t="s">
        <v>92</v>
      </c>
      <c r="G29" s="7" t="s">
        <v>150</v>
      </c>
    </row>
    <row r="30" spans="1:7" hidden="1" x14ac:dyDescent="0.25">
      <c r="A30" s="1">
        <v>28</v>
      </c>
      <c r="B30" s="16" t="s">
        <v>145</v>
      </c>
      <c r="C30" s="7" t="s">
        <v>302</v>
      </c>
      <c r="D30" s="6" t="s">
        <v>304</v>
      </c>
      <c r="E30" s="30" t="s">
        <v>50</v>
      </c>
      <c r="F30" s="7" t="s">
        <v>100</v>
      </c>
      <c r="G30" s="7" t="s">
        <v>138</v>
      </c>
    </row>
    <row r="31" spans="1:7" x14ac:dyDescent="0.25">
      <c r="A31" s="1">
        <v>29</v>
      </c>
      <c r="B31" s="16" t="s">
        <v>217</v>
      </c>
      <c r="C31" s="7" t="s">
        <v>297</v>
      </c>
      <c r="D31" s="7" t="s">
        <v>286</v>
      </c>
      <c r="E31" s="30" t="s">
        <v>235</v>
      </c>
      <c r="F31" s="7" t="s">
        <v>92</v>
      </c>
      <c r="G31" s="7" t="s">
        <v>150</v>
      </c>
    </row>
    <row r="32" spans="1:7" x14ac:dyDescent="0.25">
      <c r="A32" s="1">
        <v>30</v>
      </c>
      <c r="B32" s="16" t="s">
        <v>104</v>
      </c>
      <c r="C32" s="7" t="s">
        <v>294</v>
      </c>
      <c r="D32" s="6" t="s">
        <v>286</v>
      </c>
      <c r="E32" s="30" t="s">
        <v>64</v>
      </c>
      <c r="F32" s="7" t="s">
        <v>92</v>
      </c>
      <c r="G32" s="7" t="s">
        <v>105</v>
      </c>
    </row>
    <row r="33" spans="1:7" hidden="1" x14ac:dyDescent="0.25">
      <c r="A33" s="1">
        <v>31</v>
      </c>
      <c r="B33" s="16" t="s">
        <v>170</v>
      </c>
      <c r="C33" s="7" t="s">
        <v>302</v>
      </c>
      <c r="D33" s="7" t="s">
        <v>304</v>
      </c>
      <c r="E33" s="53" t="s">
        <v>125</v>
      </c>
      <c r="F33" s="7" t="s">
        <v>100</v>
      </c>
      <c r="G33" s="7" t="s">
        <v>108</v>
      </c>
    </row>
    <row r="34" spans="1:7" hidden="1" x14ac:dyDescent="0.25">
      <c r="A34" s="1">
        <v>32</v>
      </c>
      <c r="B34" s="16" t="s">
        <v>51</v>
      </c>
      <c r="C34" s="7" t="s">
        <v>310</v>
      </c>
      <c r="D34" s="7" t="s">
        <v>304</v>
      </c>
      <c r="E34" s="34" t="s">
        <v>194</v>
      </c>
      <c r="F34" s="7" t="s">
        <v>33</v>
      </c>
      <c r="G34" s="7" t="s">
        <v>97</v>
      </c>
    </row>
    <row r="35" spans="1:7" x14ac:dyDescent="0.25">
      <c r="A35" s="1">
        <v>33</v>
      </c>
      <c r="B35" s="16" t="s">
        <v>115</v>
      </c>
      <c r="C35" s="7" t="s">
        <v>295</v>
      </c>
      <c r="D35" s="7" t="s">
        <v>286</v>
      </c>
      <c r="E35" s="30" t="s">
        <v>235</v>
      </c>
      <c r="F35" s="7" t="s">
        <v>109</v>
      </c>
      <c r="G35" s="7" t="s">
        <v>110</v>
      </c>
    </row>
    <row r="36" spans="1:7" hidden="1" x14ac:dyDescent="0.25">
      <c r="A36" s="1">
        <v>34</v>
      </c>
      <c r="B36" s="16" t="s">
        <v>219</v>
      </c>
      <c r="C36" s="30" t="s">
        <v>298</v>
      </c>
      <c r="D36" s="7" t="s">
        <v>304</v>
      </c>
      <c r="E36" s="30" t="s">
        <v>235</v>
      </c>
      <c r="F36" s="7" t="s">
        <v>148</v>
      </c>
      <c r="G36" s="7" t="s">
        <v>206</v>
      </c>
    </row>
    <row r="37" spans="1:7" x14ac:dyDescent="0.25">
      <c r="A37" s="1">
        <v>35</v>
      </c>
      <c r="B37" s="16" t="s">
        <v>173</v>
      </c>
      <c r="C37" s="7" t="s">
        <v>294</v>
      </c>
      <c r="D37" s="6" t="s">
        <v>286</v>
      </c>
      <c r="E37" s="30" t="s">
        <v>64</v>
      </c>
      <c r="F37" s="7" t="s">
        <v>92</v>
      </c>
      <c r="G37" s="7" t="s">
        <v>38</v>
      </c>
    </row>
    <row r="38" spans="1:7" hidden="1" x14ac:dyDescent="0.25">
      <c r="A38" s="1">
        <v>36</v>
      </c>
      <c r="B38" s="16" t="s">
        <v>171</v>
      </c>
      <c r="C38" s="7" t="s">
        <v>315</v>
      </c>
      <c r="D38" s="7" t="s">
        <v>304</v>
      </c>
      <c r="E38" s="34" t="s">
        <v>193</v>
      </c>
      <c r="F38" s="23" t="s">
        <v>109</v>
      </c>
      <c r="G38" s="23" t="s">
        <v>110</v>
      </c>
    </row>
    <row r="39" spans="1:7" x14ac:dyDescent="0.25">
      <c r="A39" s="1">
        <v>37</v>
      </c>
      <c r="B39" s="16" t="s">
        <v>289</v>
      </c>
      <c r="C39" s="7" t="s">
        <v>294</v>
      </c>
      <c r="D39" s="6" t="s">
        <v>286</v>
      </c>
      <c r="E39" s="30" t="s">
        <v>64</v>
      </c>
      <c r="F39" s="7" t="s">
        <v>196</v>
      </c>
      <c r="G39" s="7" t="s">
        <v>290</v>
      </c>
    </row>
    <row r="40" spans="1:7" hidden="1" x14ac:dyDescent="0.25">
      <c r="A40" s="1">
        <v>38</v>
      </c>
      <c r="B40" s="16" t="s">
        <v>147</v>
      </c>
      <c r="C40" s="7" t="s">
        <v>296</v>
      </c>
      <c r="D40" s="7" t="s">
        <v>304</v>
      </c>
      <c r="E40" s="30" t="s">
        <v>193</v>
      </c>
      <c r="F40" s="23" t="s">
        <v>149</v>
      </c>
      <c r="G40" s="23" t="s">
        <v>138</v>
      </c>
    </row>
    <row r="41" spans="1:7" hidden="1" x14ac:dyDescent="0.25">
      <c r="A41" s="1">
        <v>39</v>
      </c>
      <c r="B41" s="17" t="s">
        <v>143</v>
      </c>
      <c r="C41" s="7" t="s">
        <v>299</v>
      </c>
      <c r="D41" s="23" t="s">
        <v>304</v>
      </c>
      <c r="E41" s="30" t="s">
        <v>64</v>
      </c>
      <c r="F41" s="23" t="s">
        <v>148</v>
      </c>
      <c r="G41" s="23" t="s">
        <v>138</v>
      </c>
    </row>
    <row r="42" spans="1:7" x14ac:dyDescent="0.25">
      <c r="A42" s="1">
        <v>40</v>
      </c>
      <c r="B42" s="16" t="s">
        <v>174</v>
      </c>
      <c r="C42" s="23" t="s">
        <v>316</v>
      </c>
      <c r="D42" s="51" t="s">
        <v>286</v>
      </c>
      <c r="E42" s="31" t="s">
        <v>194</v>
      </c>
      <c r="F42" s="23" t="s">
        <v>100</v>
      </c>
      <c r="G42" s="23" t="s">
        <v>38</v>
      </c>
    </row>
    <row r="43" spans="1:7" hidden="1" x14ac:dyDescent="0.25">
      <c r="A43" s="1">
        <v>41</v>
      </c>
      <c r="B43" s="17" t="s">
        <v>96</v>
      </c>
      <c r="C43" s="23" t="s">
        <v>284</v>
      </c>
      <c r="D43" s="52" t="s">
        <v>304</v>
      </c>
      <c r="E43" s="34" t="s">
        <v>193</v>
      </c>
      <c r="F43" s="23" t="s">
        <v>33</v>
      </c>
      <c r="G43" s="23" t="s">
        <v>43</v>
      </c>
    </row>
    <row r="44" spans="1:7" hidden="1" x14ac:dyDescent="0.25">
      <c r="A44" s="1">
        <v>42</v>
      </c>
      <c r="B44" s="17" t="s">
        <v>287</v>
      </c>
      <c r="C44" s="7" t="s">
        <v>300</v>
      </c>
      <c r="D44" s="23" t="s">
        <v>304</v>
      </c>
      <c r="E44" s="91" t="s">
        <v>64</v>
      </c>
      <c r="F44" s="23" t="s">
        <v>90</v>
      </c>
      <c r="G44" s="23" t="s">
        <v>288</v>
      </c>
    </row>
    <row r="45" spans="1:7" hidden="1" x14ac:dyDescent="0.25">
      <c r="A45" s="1">
        <v>43</v>
      </c>
      <c r="B45" s="16" t="s">
        <v>83</v>
      </c>
      <c r="C45" s="7" t="s">
        <v>296</v>
      </c>
      <c r="D45" s="23" t="s">
        <v>304</v>
      </c>
      <c r="E45" s="30" t="s">
        <v>64</v>
      </c>
      <c r="F45" s="7" t="s">
        <v>91</v>
      </c>
      <c r="G45" s="7" t="s">
        <v>88</v>
      </c>
    </row>
    <row r="46" spans="1:7" hidden="1" x14ac:dyDescent="0.25">
      <c r="A46" s="1">
        <v>44</v>
      </c>
      <c r="B46" s="16" t="s">
        <v>82</v>
      </c>
      <c r="C46" s="7" t="s">
        <v>296</v>
      </c>
      <c r="D46" s="23" t="s">
        <v>304</v>
      </c>
      <c r="E46" s="30" t="s">
        <v>64</v>
      </c>
      <c r="F46" s="7" t="s">
        <v>91</v>
      </c>
      <c r="G46" s="7" t="s">
        <v>87</v>
      </c>
    </row>
    <row r="47" spans="1:7" hidden="1" x14ac:dyDescent="0.25">
      <c r="A47" s="1">
        <v>45</v>
      </c>
      <c r="B47" s="23" t="s">
        <v>277</v>
      </c>
      <c r="C47" s="7" t="s">
        <v>295</v>
      </c>
      <c r="D47" s="23" t="s">
        <v>304</v>
      </c>
      <c r="E47" s="31" t="s">
        <v>64</v>
      </c>
      <c r="F47" s="23" t="s">
        <v>23</v>
      </c>
      <c r="G47" s="7" t="s">
        <v>278</v>
      </c>
    </row>
    <row r="48" spans="1:7" hidden="1" x14ac:dyDescent="0.25">
      <c r="A48" s="1">
        <v>46</v>
      </c>
      <c r="B48" s="50" t="s">
        <v>30</v>
      </c>
      <c r="C48" s="7" t="s">
        <v>296</v>
      </c>
      <c r="D48" s="23" t="s">
        <v>304</v>
      </c>
      <c r="E48" s="31" t="s">
        <v>64</v>
      </c>
      <c r="F48" s="54" t="s">
        <v>31</v>
      </c>
      <c r="G48" s="54" t="s">
        <v>48</v>
      </c>
    </row>
    <row r="49" spans="1:7" hidden="1" x14ac:dyDescent="0.25">
      <c r="A49" s="1">
        <v>47</v>
      </c>
      <c r="B49" s="17" t="s">
        <v>211</v>
      </c>
      <c r="C49" s="23" t="s">
        <v>309</v>
      </c>
      <c r="D49" s="23" t="s">
        <v>304</v>
      </c>
      <c r="E49" s="30" t="s">
        <v>194</v>
      </c>
      <c r="F49" s="23" t="s">
        <v>33</v>
      </c>
      <c r="G49" s="23" t="s">
        <v>43</v>
      </c>
    </row>
    <row r="50" spans="1:7" hidden="1" x14ac:dyDescent="0.25">
      <c r="A50" s="1">
        <v>48</v>
      </c>
      <c r="B50" s="16" t="s">
        <v>81</v>
      </c>
      <c r="C50" s="7" t="s">
        <v>296</v>
      </c>
      <c r="D50" s="23" t="s">
        <v>304</v>
      </c>
      <c r="E50" s="30" t="s">
        <v>64</v>
      </c>
      <c r="F50" s="7" t="s">
        <v>91</v>
      </c>
      <c r="G50" s="7" t="s">
        <v>86</v>
      </c>
    </row>
    <row r="51" spans="1:7" hidden="1" x14ac:dyDescent="0.25"/>
    <row r="59" spans="1:7" ht="18.75" x14ac:dyDescent="0.3">
      <c r="G59" s="72"/>
    </row>
    <row r="60" spans="1:7" ht="18.75" x14ac:dyDescent="0.3">
      <c r="G60" s="72"/>
    </row>
    <row r="62" spans="1:7" x14ac:dyDescent="0.25">
      <c r="G62" s="73"/>
    </row>
  </sheetData>
  <mergeCells count="1">
    <mergeCell ref="B1:G1"/>
  </mergeCells>
  <phoneticPr fontId="26" type="noConversion"/>
  <printOptions horizontalCentered="1"/>
  <pageMargins left="0.11811023622047245" right="0" top="0.15748031496062992" bottom="0.15748031496062992" header="0.15748031496062992" footer="0.15748031496062992"/>
  <pageSetup paperSize="9" scale="64" fitToHeight="2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66117-40BE-40AA-8383-95B3BB85EA5D}">
  <sheetPr codeName="Planilha2"/>
  <dimension ref="A1:G22"/>
  <sheetViews>
    <sheetView showGridLines="0" zoomScaleNormal="100" zoomScaleSheetLayoutView="100" workbookViewId="0">
      <selection activeCell="E13" sqref="E13"/>
    </sheetView>
  </sheetViews>
  <sheetFormatPr defaultRowHeight="15" x14ac:dyDescent="0.25"/>
  <cols>
    <col min="1" max="1" width="3" bestFit="1" customWidth="1"/>
    <col min="2" max="2" width="18.7109375" bestFit="1" customWidth="1"/>
    <col min="3" max="3" width="38" bestFit="1" customWidth="1"/>
    <col min="4" max="4" width="19.140625" bestFit="1" customWidth="1"/>
    <col min="5" max="5" width="16.5703125" style="2" bestFit="1" customWidth="1"/>
    <col min="6" max="6" width="27" bestFit="1" customWidth="1"/>
    <col min="7" max="7" width="34.28515625" bestFit="1" customWidth="1"/>
    <col min="8" max="8" width="22.42578125" bestFit="1" customWidth="1"/>
  </cols>
  <sheetData>
    <row r="1" spans="1:7" ht="24.95" customHeight="1" x14ac:dyDescent="0.25">
      <c r="A1" s="4"/>
      <c r="B1" s="96" t="s">
        <v>122</v>
      </c>
      <c r="C1" s="97"/>
      <c r="D1" s="97"/>
      <c r="E1" s="97"/>
      <c r="F1" s="97"/>
      <c r="G1" s="97"/>
    </row>
    <row r="2" spans="1:7" ht="25.5" x14ac:dyDescent="0.25">
      <c r="A2" s="4"/>
      <c r="B2" s="42" t="s">
        <v>35</v>
      </c>
      <c r="C2" s="11" t="s">
        <v>228</v>
      </c>
      <c r="D2" s="41" t="s">
        <v>229</v>
      </c>
      <c r="E2" s="12" t="s">
        <v>36</v>
      </c>
      <c r="F2" s="12" t="s">
        <v>37</v>
      </c>
      <c r="G2" s="43" t="s">
        <v>49</v>
      </c>
    </row>
    <row r="3" spans="1:7" x14ac:dyDescent="0.25">
      <c r="A3" s="5">
        <v>1</v>
      </c>
      <c r="B3" s="55" t="s">
        <v>156</v>
      </c>
      <c r="C3" s="71" t="s">
        <v>301</v>
      </c>
      <c r="D3" s="56" t="s">
        <v>305</v>
      </c>
      <c r="E3" s="8" t="s">
        <v>235</v>
      </c>
      <c r="F3" s="27" t="s">
        <v>68</v>
      </c>
      <c r="G3" s="59" t="s">
        <v>57</v>
      </c>
    </row>
    <row r="4" spans="1:7" x14ac:dyDescent="0.25">
      <c r="A4" s="5">
        <v>2</v>
      </c>
      <c r="B4" s="55" t="s">
        <v>155</v>
      </c>
      <c r="C4" s="56" t="s">
        <v>324</v>
      </c>
      <c r="D4" s="56" t="s">
        <v>286</v>
      </c>
      <c r="E4" s="8" t="s">
        <v>125</v>
      </c>
      <c r="F4" s="8" t="s">
        <v>69</v>
      </c>
      <c r="G4" s="57" t="s">
        <v>56</v>
      </c>
    </row>
    <row r="5" spans="1:7" x14ac:dyDescent="0.25">
      <c r="A5" s="5">
        <v>3</v>
      </c>
      <c r="B5" s="55" t="s">
        <v>158</v>
      </c>
      <c r="C5" s="71" t="s">
        <v>301</v>
      </c>
      <c r="D5" s="56" t="s">
        <v>305</v>
      </c>
      <c r="E5" s="8" t="s">
        <v>64</v>
      </c>
      <c r="F5" s="27" t="s">
        <v>68</v>
      </c>
      <c r="G5" s="57" t="s">
        <v>59</v>
      </c>
    </row>
    <row r="6" spans="1:7" x14ac:dyDescent="0.25">
      <c r="A6" s="5">
        <v>4</v>
      </c>
      <c r="B6" s="79" t="s">
        <v>159</v>
      </c>
      <c r="C6" s="71" t="s">
        <v>301</v>
      </c>
      <c r="D6" s="71" t="s">
        <v>305</v>
      </c>
      <c r="E6" s="27" t="s">
        <v>64</v>
      </c>
      <c r="F6" s="27" t="s">
        <v>68</v>
      </c>
      <c r="G6" s="57" t="s">
        <v>60</v>
      </c>
    </row>
    <row r="7" spans="1:7" x14ac:dyDescent="0.25">
      <c r="A7" s="5">
        <v>5</v>
      </c>
      <c r="B7" s="79" t="s">
        <v>160</v>
      </c>
      <c r="C7" s="71" t="s">
        <v>301</v>
      </c>
      <c r="D7" s="71" t="s">
        <v>305</v>
      </c>
      <c r="E7" s="27" t="s">
        <v>64</v>
      </c>
      <c r="F7" s="27" t="s">
        <v>68</v>
      </c>
      <c r="G7" s="59" t="s">
        <v>61</v>
      </c>
    </row>
    <row r="8" spans="1:7" x14ac:dyDescent="0.25">
      <c r="A8" s="5">
        <v>6</v>
      </c>
      <c r="B8" s="55" t="s">
        <v>120</v>
      </c>
      <c r="C8" s="56" t="s">
        <v>320</v>
      </c>
      <c r="D8" s="71" t="s">
        <v>306</v>
      </c>
      <c r="E8" s="85" t="s">
        <v>194</v>
      </c>
      <c r="F8" s="8" t="s">
        <v>68</v>
      </c>
      <c r="G8" s="57" t="s">
        <v>123</v>
      </c>
    </row>
    <row r="9" spans="1:7" x14ac:dyDescent="0.25">
      <c r="A9" s="5">
        <v>7</v>
      </c>
      <c r="B9" s="55" t="s">
        <v>164</v>
      </c>
      <c r="C9" s="56" t="s">
        <v>302</v>
      </c>
      <c r="D9" s="56" t="s">
        <v>305</v>
      </c>
      <c r="E9" s="85" t="s">
        <v>50</v>
      </c>
      <c r="F9" s="58" t="s">
        <v>75</v>
      </c>
      <c r="G9" s="59" t="s">
        <v>74</v>
      </c>
    </row>
    <row r="10" spans="1:7" x14ac:dyDescent="0.25">
      <c r="A10" s="5">
        <v>8</v>
      </c>
      <c r="B10" s="55" t="s">
        <v>151</v>
      </c>
      <c r="C10" s="56" t="s">
        <v>319</v>
      </c>
      <c r="D10" s="56" t="s">
        <v>305</v>
      </c>
      <c r="E10" s="86" t="s">
        <v>193</v>
      </c>
      <c r="F10" s="8" t="s">
        <v>126</v>
      </c>
      <c r="G10" s="57" t="s">
        <v>127</v>
      </c>
    </row>
    <row r="11" spans="1:7" x14ac:dyDescent="0.25">
      <c r="A11" s="5">
        <v>9</v>
      </c>
      <c r="B11" s="55" t="s">
        <v>128</v>
      </c>
      <c r="C11" s="56" t="s">
        <v>319</v>
      </c>
      <c r="D11" s="56" t="s">
        <v>305</v>
      </c>
      <c r="E11" s="58" t="s">
        <v>193</v>
      </c>
      <c r="F11" s="8" t="s">
        <v>129</v>
      </c>
      <c r="G11" s="57" t="s">
        <v>130</v>
      </c>
    </row>
    <row r="12" spans="1:7" x14ac:dyDescent="0.25">
      <c r="A12" s="5">
        <v>10</v>
      </c>
      <c r="B12" s="79" t="s">
        <v>152</v>
      </c>
      <c r="C12" s="71" t="s">
        <v>301</v>
      </c>
      <c r="D12" s="71" t="s">
        <v>305</v>
      </c>
      <c r="E12" s="27" t="s">
        <v>64</v>
      </c>
      <c r="F12" s="27" t="s">
        <v>66</v>
      </c>
      <c r="G12" s="57" t="s">
        <v>53</v>
      </c>
    </row>
    <row r="13" spans="1:7" x14ac:dyDescent="0.25">
      <c r="A13" s="5">
        <v>11</v>
      </c>
      <c r="B13" s="79" t="s">
        <v>163</v>
      </c>
      <c r="C13" s="71" t="s">
        <v>301</v>
      </c>
      <c r="D13" s="71" t="s">
        <v>305</v>
      </c>
      <c r="E13" s="27" t="s">
        <v>235</v>
      </c>
      <c r="F13" s="27" t="s">
        <v>73</v>
      </c>
      <c r="G13" s="57" t="s">
        <v>63</v>
      </c>
    </row>
    <row r="14" spans="1:7" x14ac:dyDescent="0.25">
      <c r="A14" s="5">
        <v>12</v>
      </c>
      <c r="B14" s="55" t="s">
        <v>161</v>
      </c>
      <c r="C14" s="56" t="s">
        <v>317</v>
      </c>
      <c r="D14" s="56" t="s">
        <v>286</v>
      </c>
      <c r="E14" s="8" t="s">
        <v>125</v>
      </c>
      <c r="F14" s="8" t="s">
        <v>71</v>
      </c>
      <c r="G14" s="57" t="s">
        <v>62</v>
      </c>
    </row>
    <row r="15" spans="1:7" x14ac:dyDescent="0.25">
      <c r="A15" s="5">
        <v>13</v>
      </c>
      <c r="B15" s="79" t="s">
        <v>154</v>
      </c>
      <c r="C15" s="71" t="s">
        <v>321</v>
      </c>
      <c r="D15" s="71" t="s">
        <v>306</v>
      </c>
      <c r="E15" s="27" t="s">
        <v>235</v>
      </c>
      <c r="F15" s="27" t="s">
        <v>68</v>
      </c>
      <c r="G15" s="57" t="s">
        <v>55</v>
      </c>
    </row>
    <row r="16" spans="1:7" x14ac:dyDescent="0.25">
      <c r="A16" s="5">
        <v>14</v>
      </c>
      <c r="B16" s="79" t="s">
        <v>230</v>
      </c>
      <c r="C16" s="71" t="s">
        <v>299</v>
      </c>
      <c r="D16" s="71" t="s">
        <v>306</v>
      </c>
      <c r="E16" s="27" t="s">
        <v>64</v>
      </c>
      <c r="F16" s="27" t="s">
        <v>232</v>
      </c>
      <c r="G16" s="57" t="s">
        <v>231</v>
      </c>
    </row>
    <row r="17" spans="1:7" x14ac:dyDescent="0.25">
      <c r="A17" s="5">
        <v>15</v>
      </c>
      <c r="B17" s="79" t="s">
        <v>153</v>
      </c>
      <c r="C17" s="71" t="s">
        <v>299</v>
      </c>
      <c r="D17" s="71" t="s">
        <v>306</v>
      </c>
      <c r="E17" s="27" t="s">
        <v>64</v>
      </c>
      <c r="F17" s="27" t="s">
        <v>67</v>
      </c>
      <c r="G17" s="57" t="s">
        <v>54</v>
      </c>
    </row>
    <row r="18" spans="1:7" x14ac:dyDescent="0.25">
      <c r="A18" s="5">
        <v>16</v>
      </c>
      <c r="B18" s="55" t="s">
        <v>162</v>
      </c>
      <c r="C18" s="56" t="s">
        <v>302</v>
      </c>
      <c r="D18" s="56" t="s">
        <v>304</v>
      </c>
      <c r="E18" s="85" t="s">
        <v>50</v>
      </c>
      <c r="F18" s="8" t="s">
        <v>72</v>
      </c>
      <c r="G18" s="57" t="s">
        <v>58</v>
      </c>
    </row>
    <row r="19" spans="1:7" x14ac:dyDescent="0.25">
      <c r="A19" s="5">
        <v>17</v>
      </c>
      <c r="B19" s="60" t="s">
        <v>121</v>
      </c>
      <c r="C19" s="56" t="s">
        <v>319</v>
      </c>
      <c r="D19" s="56" t="s">
        <v>304</v>
      </c>
      <c r="E19" s="58" t="s">
        <v>193</v>
      </c>
      <c r="F19" s="61" t="s">
        <v>124</v>
      </c>
      <c r="G19" s="62" t="s">
        <v>138</v>
      </c>
    </row>
    <row r="20" spans="1:7" x14ac:dyDescent="0.25">
      <c r="A20" s="5">
        <v>18</v>
      </c>
      <c r="B20" s="60" t="s">
        <v>157</v>
      </c>
      <c r="C20" s="56" t="s">
        <v>299</v>
      </c>
      <c r="D20" s="56" t="s">
        <v>306</v>
      </c>
      <c r="E20" s="8" t="s">
        <v>64</v>
      </c>
      <c r="F20" s="61" t="s">
        <v>70</v>
      </c>
      <c r="G20" s="62" t="s">
        <v>58</v>
      </c>
    </row>
    <row r="21" spans="1:7" x14ac:dyDescent="0.25">
      <c r="A21" s="5">
        <v>19</v>
      </c>
      <c r="B21" s="55" t="s">
        <v>341</v>
      </c>
      <c r="C21" s="56" t="s">
        <v>342</v>
      </c>
      <c r="D21" s="56" t="s">
        <v>306</v>
      </c>
      <c r="E21" s="8" t="s">
        <v>64</v>
      </c>
      <c r="F21" s="27" t="s">
        <v>197</v>
      </c>
      <c r="G21" s="30" t="s">
        <v>270</v>
      </c>
    </row>
    <row r="22" spans="1:7" x14ac:dyDescent="0.25">
      <c r="A22" s="2"/>
      <c r="B22" s="28"/>
      <c r="C22" s="14"/>
      <c r="D22" s="14"/>
      <c r="E22" s="15"/>
      <c r="G22" s="10"/>
    </row>
  </sheetData>
  <mergeCells count="1">
    <mergeCell ref="B1:G1"/>
  </mergeCells>
  <printOptions horizontalCentered="1"/>
  <pageMargins left="0.16" right="0.16" top="0.78740157480314965" bottom="0.78740157480314965" header="0.31496062992125984" footer="0.31496062992125984"/>
  <pageSetup paperSize="9" scale="69" orientation="landscape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1B6D-E4AD-426B-B577-103217C7D1A8}">
  <sheetPr codeName="Planilha3">
    <pageSetUpPr fitToPage="1"/>
  </sheetPr>
  <dimension ref="A1:J40"/>
  <sheetViews>
    <sheetView showGridLines="0" tabSelected="1" zoomScaleNormal="100" zoomScaleSheetLayoutView="100" workbookViewId="0">
      <selection activeCell="B4" sqref="B4"/>
    </sheetView>
  </sheetViews>
  <sheetFormatPr defaultRowHeight="15" x14ac:dyDescent="0.25"/>
  <cols>
    <col min="1" max="1" width="3" bestFit="1" customWidth="1"/>
    <col min="2" max="2" width="19" bestFit="1" customWidth="1"/>
    <col min="3" max="3" width="30.7109375" bestFit="1" customWidth="1"/>
    <col min="4" max="4" width="21.85546875" bestFit="1" customWidth="1"/>
    <col min="5" max="5" width="15.5703125" bestFit="1" customWidth="1"/>
    <col min="6" max="7" width="26.140625" bestFit="1" customWidth="1"/>
    <col min="8" max="8" width="14" bestFit="1" customWidth="1"/>
    <col min="9" max="9" width="11.5703125" bestFit="1" customWidth="1"/>
  </cols>
  <sheetData>
    <row r="1" spans="1:7" ht="24.95" customHeight="1" x14ac:dyDescent="0.25">
      <c r="A1" s="4"/>
      <c r="B1" s="96" t="s">
        <v>131</v>
      </c>
      <c r="C1" s="97"/>
      <c r="D1" s="97"/>
      <c r="E1" s="97"/>
      <c r="F1" s="97"/>
      <c r="G1" s="97"/>
    </row>
    <row r="2" spans="1:7" x14ac:dyDescent="0.25">
      <c r="A2" s="4"/>
      <c r="B2" s="44" t="s">
        <v>35</v>
      </c>
      <c r="C2" s="46" t="s">
        <v>228</v>
      </c>
      <c r="D2" s="46" t="s">
        <v>227</v>
      </c>
      <c r="E2" s="45" t="s">
        <v>36</v>
      </c>
      <c r="F2" s="45" t="s">
        <v>37</v>
      </c>
      <c r="G2" s="47" t="s">
        <v>49</v>
      </c>
    </row>
    <row r="3" spans="1:7" x14ac:dyDescent="0.25">
      <c r="A3" s="5">
        <v>1</v>
      </c>
      <c r="B3" s="19" t="s">
        <v>4</v>
      </c>
      <c r="C3" s="6" t="s">
        <v>303</v>
      </c>
      <c r="D3" s="35" t="s">
        <v>283</v>
      </c>
      <c r="E3" s="32" t="s">
        <v>64</v>
      </c>
      <c r="F3" s="35" t="s">
        <v>3</v>
      </c>
      <c r="G3" s="35" t="s">
        <v>38</v>
      </c>
    </row>
    <row r="4" spans="1:7" x14ac:dyDescent="0.25">
      <c r="A4" s="5">
        <v>2</v>
      </c>
      <c r="B4" s="19" t="s">
        <v>291</v>
      </c>
      <c r="C4" s="6" t="s">
        <v>330</v>
      </c>
      <c r="D4" s="27" t="s">
        <v>338</v>
      </c>
      <c r="E4" s="32" t="s">
        <v>64</v>
      </c>
      <c r="F4" s="6" t="s">
        <v>292</v>
      </c>
      <c r="G4" s="6" t="s">
        <v>293</v>
      </c>
    </row>
    <row r="5" spans="1:7" x14ac:dyDescent="0.25">
      <c r="A5" s="5">
        <v>3</v>
      </c>
      <c r="B5" s="19" t="s">
        <v>223</v>
      </c>
      <c r="C5" s="6" t="s">
        <v>303</v>
      </c>
      <c r="D5" s="35" t="s">
        <v>283</v>
      </c>
      <c r="E5" s="89" t="s">
        <v>64</v>
      </c>
      <c r="F5" s="6" t="s">
        <v>3</v>
      </c>
      <c r="G5" s="6" t="s">
        <v>220</v>
      </c>
    </row>
    <row r="6" spans="1:7" x14ac:dyDescent="0.25">
      <c r="A6" s="5">
        <v>4</v>
      </c>
      <c r="B6" s="19" t="s">
        <v>8</v>
      </c>
      <c r="C6" s="6" t="s">
        <v>325</v>
      </c>
      <c r="D6" s="35" t="s">
        <v>286</v>
      </c>
      <c r="E6" s="87" t="s">
        <v>235</v>
      </c>
      <c r="F6" s="35" t="s">
        <v>9</v>
      </c>
      <c r="G6" s="35" t="s">
        <v>41</v>
      </c>
    </row>
    <row r="7" spans="1:7" x14ac:dyDescent="0.25">
      <c r="A7" s="5">
        <v>5</v>
      </c>
      <c r="B7" s="19" t="s">
        <v>16</v>
      </c>
      <c r="C7" s="6" t="s">
        <v>325</v>
      </c>
      <c r="D7" s="35" t="s">
        <v>286</v>
      </c>
      <c r="E7" s="87" t="s">
        <v>235</v>
      </c>
      <c r="F7" s="35" t="s">
        <v>15</v>
      </c>
      <c r="G7" s="35" t="s">
        <v>44</v>
      </c>
    </row>
    <row r="8" spans="1:7" x14ac:dyDescent="0.25">
      <c r="A8" s="5">
        <v>6</v>
      </c>
      <c r="B8" s="19" t="s">
        <v>17</v>
      </c>
      <c r="C8" s="35" t="s">
        <v>318</v>
      </c>
      <c r="D8" s="35" t="s">
        <v>304</v>
      </c>
      <c r="E8" s="67" t="s">
        <v>193</v>
      </c>
      <c r="F8" s="35" t="s">
        <v>18</v>
      </c>
      <c r="G8" s="35" t="s">
        <v>44</v>
      </c>
    </row>
    <row r="9" spans="1:7" x14ac:dyDescent="0.25">
      <c r="A9" s="5">
        <v>7</v>
      </c>
      <c r="B9" s="19" t="s">
        <v>19</v>
      </c>
      <c r="C9" s="35" t="s">
        <v>326</v>
      </c>
      <c r="D9" s="35" t="s">
        <v>308</v>
      </c>
      <c r="E9" s="67" t="s">
        <v>193</v>
      </c>
      <c r="F9" s="35" t="s">
        <v>20</v>
      </c>
      <c r="G9" s="35" t="s">
        <v>44</v>
      </c>
    </row>
    <row r="10" spans="1:7" x14ac:dyDescent="0.25">
      <c r="A10" s="5">
        <v>8</v>
      </c>
      <c r="B10" s="19" t="s">
        <v>21</v>
      </c>
      <c r="C10" s="6" t="s">
        <v>303</v>
      </c>
      <c r="D10" s="35" t="s">
        <v>283</v>
      </c>
      <c r="E10" s="32" t="s">
        <v>235</v>
      </c>
      <c r="F10" s="35" t="s">
        <v>20</v>
      </c>
      <c r="G10" s="35" t="s">
        <v>45</v>
      </c>
    </row>
    <row r="11" spans="1:7" x14ac:dyDescent="0.25">
      <c r="A11" s="5">
        <v>9</v>
      </c>
      <c r="B11" s="19" t="s">
        <v>34</v>
      </c>
      <c r="C11" s="6" t="s">
        <v>303</v>
      </c>
      <c r="D11" s="35" t="s">
        <v>283</v>
      </c>
      <c r="E11" s="67" t="s">
        <v>193</v>
      </c>
      <c r="F11" s="35" t="s">
        <v>33</v>
      </c>
      <c r="G11" s="35" t="s">
        <v>48</v>
      </c>
    </row>
    <row r="12" spans="1:7" x14ac:dyDescent="0.25">
      <c r="A12" s="5">
        <v>10</v>
      </c>
      <c r="B12" s="19" t="s">
        <v>32</v>
      </c>
      <c r="C12" s="6" t="s">
        <v>303</v>
      </c>
      <c r="D12" s="35" t="s">
        <v>283</v>
      </c>
      <c r="E12" s="32" t="s">
        <v>64</v>
      </c>
      <c r="F12" s="35" t="s">
        <v>33</v>
      </c>
      <c r="G12" s="35" t="s">
        <v>239</v>
      </c>
    </row>
    <row r="13" spans="1:7" x14ac:dyDescent="0.25">
      <c r="A13" s="5">
        <v>11</v>
      </c>
      <c r="B13" s="19" t="s">
        <v>134</v>
      </c>
      <c r="C13" s="35" t="s">
        <v>303</v>
      </c>
      <c r="D13" s="35" t="s">
        <v>283</v>
      </c>
      <c r="E13" s="89" t="s">
        <v>64</v>
      </c>
      <c r="F13" s="6" t="s">
        <v>28</v>
      </c>
      <c r="G13" s="6" t="s">
        <v>139</v>
      </c>
    </row>
    <row r="14" spans="1:7" x14ac:dyDescent="0.25">
      <c r="A14" s="5">
        <v>12</v>
      </c>
      <c r="B14" s="19" t="s">
        <v>7</v>
      </c>
      <c r="C14" s="35" t="s">
        <v>327</v>
      </c>
      <c r="D14" s="35" t="s">
        <v>308</v>
      </c>
      <c r="E14" s="78" t="s">
        <v>193</v>
      </c>
      <c r="F14" s="35" t="s">
        <v>6</v>
      </c>
      <c r="G14" s="35" t="s">
        <v>40</v>
      </c>
    </row>
    <row r="15" spans="1:7" x14ac:dyDescent="0.25">
      <c r="A15" s="5">
        <v>13</v>
      </c>
      <c r="B15" s="19" t="s">
        <v>24</v>
      </c>
      <c r="C15" s="35" t="s">
        <v>311</v>
      </c>
      <c r="D15" s="35" t="s">
        <v>305</v>
      </c>
      <c r="E15" s="78" t="s">
        <v>193</v>
      </c>
      <c r="F15" s="35" t="s">
        <v>25</v>
      </c>
      <c r="G15" s="35" t="s">
        <v>40</v>
      </c>
    </row>
    <row r="16" spans="1:7" x14ac:dyDescent="0.25">
      <c r="A16" s="5">
        <v>14</v>
      </c>
      <c r="B16" s="74" t="s">
        <v>94</v>
      </c>
      <c r="C16" s="6" t="s">
        <v>303</v>
      </c>
      <c r="D16" s="35" t="s">
        <v>283</v>
      </c>
      <c r="E16" s="87" t="s">
        <v>235</v>
      </c>
      <c r="F16" s="35" t="s">
        <v>3</v>
      </c>
      <c r="G16" s="35" t="s">
        <v>42</v>
      </c>
    </row>
    <row r="17" spans="1:10" x14ac:dyDescent="0.25">
      <c r="A17" s="5">
        <v>15</v>
      </c>
      <c r="B17" s="19" t="s">
        <v>26</v>
      </c>
      <c r="C17" s="35" t="s">
        <v>312</v>
      </c>
      <c r="D17" s="35" t="s">
        <v>304</v>
      </c>
      <c r="E17" s="78" t="s">
        <v>193</v>
      </c>
      <c r="F17" s="35" t="s">
        <v>25</v>
      </c>
      <c r="G17" s="35" t="s">
        <v>42</v>
      </c>
    </row>
    <row r="18" spans="1:10" x14ac:dyDescent="0.25">
      <c r="A18" s="5">
        <v>16</v>
      </c>
      <c r="B18" s="19" t="s">
        <v>22</v>
      </c>
      <c r="C18" s="35" t="s">
        <v>295</v>
      </c>
      <c r="D18" s="35" t="s">
        <v>304</v>
      </c>
      <c r="E18" s="87" t="s">
        <v>235</v>
      </c>
      <c r="F18" s="35" t="s">
        <v>23</v>
      </c>
      <c r="G18" s="35" t="s">
        <v>46</v>
      </c>
    </row>
    <row r="19" spans="1:10" x14ac:dyDescent="0.25">
      <c r="A19" s="5">
        <v>17</v>
      </c>
      <c r="B19" s="19" t="s">
        <v>133</v>
      </c>
      <c r="C19" s="35" t="s">
        <v>303</v>
      </c>
      <c r="D19" s="35" t="s">
        <v>286</v>
      </c>
      <c r="E19" s="87" t="s">
        <v>235</v>
      </c>
      <c r="F19" s="35" t="s">
        <v>3</v>
      </c>
      <c r="G19" s="35" t="s">
        <v>138</v>
      </c>
    </row>
    <row r="20" spans="1:10" x14ac:dyDescent="0.25">
      <c r="A20" s="5">
        <v>18</v>
      </c>
      <c r="B20" s="19" t="s">
        <v>5</v>
      </c>
      <c r="C20" s="6" t="s">
        <v>322</v>
      </c>
      <c r="D20" s="35" t="s">
        <v>304</v>
      </c>
      <c r="E20" s="87" t="s">
        <v>125</v>
      </c>
      <c r="F20" s="35" t="s">
        <v>6</v>
      </c>
      <c r="G20" s="35" t="s">
        <v>39</v>
      </c>
    </row>
    <row r="21" spans="1:10" x14ac:dyDescent="0.25">
      <c r="A21" s="5">
        <v>19</v>
      </c>
      <c r="B21" s="19" t="s">
        <v>27</v>
      </c>
      <c r="C21" s="6" t="s">
        <v>303</v>
      </c>
      <c r="D21" s="35" t="s">
        <v>283</v>
      </c>
      <c r="E21" s="87" t="s">
        <v>235</v>
      </c>
      <c r="F21" s="6" t="s">
        <v>28</v>
      </c>
      <c r="G21" s="6" t="s">
        <v>47</v>
      </c>
    </row>
    <row r="22" spans="1:10" x14ac:dyDescent="0.25">
      <c r="A22" s="5">
        <v>20</v>
      </c>
      <c r="B22" s="19" t="s">
        <v>135</v>
      </c>
      <c r="C22" s="35" t="s">
        <v>303</v>
      </c>
      <c r="D22" s="35" t="s">
        <v>283</v>
      </c>
      <c r="E22" s="89" t="s">
        <v>64</v>
      </c>
      <c r="F22" s="6" t="s">
        <v>28</v>
      </c>
      <c r="G22" s="6" t="s">
        <v>140</v>
      </c>
    </row>
    <row r="23" spans="1:10" x14ac:dyDescent="0.25">
      <c r="A23" s="5">
        <v>21</v>
      </c>
      <c r="B23" s="19" t="s">
        <v>0</v>
      </c>
      <c r="C23" s="35" t="s">
        <v>328</v>
      </c>
      <c r="D23" s="35" t="s">
        <v>308</v>
      </c>
      <c r="E23" s="67" t="s">
        <v>194</v>
      </c>
      <c r="F23" s="35" t="s">
        <v>1</v>
      </c>
      <c r="G23" s="35" t="s">
        <v>38</v>
      </c>
    </row>
    <row r="24" spans="1:10" x14ac:dyDescent="0.25">
      <c r="A24" s="5">
        <v>22</v>
      </c>
      <c r="B24" s="19" t="s">
        <v>136</v>
      </c>
      <c r="C24" s="6" t="s">
        <v>303</v>
      </c>
      <c r="D24" s="35" t="s">
        <v>283</v>
      </c>
      <c r="E24" s="92" t="s">
        <v>64</v>
      </c>
      <c r="F24" s="6" t="s">
        <v>28</v>
      </c>
      <c r="G24" s="6" t="s">
        <v>141</v>
      </c>
    </row>
    <row r="25" spans="1:10" x14ac:dyDescent="0.25">
      <c r="A25" s="5">
        <v>23</v>
      </c>
      <c r="B25" s="19" t="s">
        <v>221</v>
      </c>
      <c r="C25" s="6" t="s">
        <v>303</v>
      </c>
      <c r="D25" s="35" t="s">
        <v>283</v>
      </c>
      <c r="E25" s="92" t="s">
        <v>64</v>
      </c>
      <c r="F25" s="6" t="s">
        <v>25</v>
      </c>
      <c r="G25" s="6" t="s">
        <v>222</v>
      </c>
      <c r="H25" s="33"/>
      <c r="I25" s="33"/>
      <c r="J25" s="65"/>
    </row>
    <row r="26" spans="1:10" x14ac:dyDescent="0.25">
      <c r="A26" s="5">
        <v>24</v>
      </c>
      <c r="B26" s="19" t="s">
        <v>29</v>
      </c>
      <c r="C26" s="6" t="s">
        <v>297</v>
      </c>
      <c r="D26" s="35" t="s">
        <v>305</v>
      </c>
      <c r="E26" s="78" t="s">
        <v>193</v>
      </c>
      <c r="F26" s="6" t="s">
        <v>28</v>
      </c>
      <c r="G26" s="6" t="s">
        <v>38</v>
      </c>
    </row>
    <row r="27" spans="1:10" x14ac:dyDescent="0.25">
      <c r="A27" s="5">
        <v>25</v>
      </c>
      <c r="B27" s="50" t="s">
        <v>14</v>
      </c>
      <c r="C27" s="6" t="s">
        <v>303</v>
      </c>
      <c r="D27" s="35" t="s">
        <v>304</v>
      </c>
      <c r="E27" s="32" t="s">
        <v>125</v>
      </c>
      <c r="F27" s="35" t="s">
        <v>15</v>
      </c>
      <c r="G27" s="54" t="s">
        <v>43</v>
      </c>
    </row>
    <row r="28" spans="1:10" x14ac:dyDescent="0.25">
      <c r="A28" s="5">
        <v>26</v>
      </c>
      <c r="B28" s="50" t="s">
        <v>12</v>
      </c>
      <c r="C28" s="6" t="s">
        <v>329</v>
      </c>
      <c r="D28" s="35" t="s">
        <v>304</v>
      </c>
      <c r="E28" s="87" t="s">
        <v>235</v>
      </c>
      <c r="F28" s="35" t="s">
        <v>13</v>
      </c>
      <c r="G28" s="54" t="s">
        <v>65</v>
      </c>
    </row>
    <row r="29" spans="1:10" x14ac:dyDescent="0.25">
      <c r="A29" s="5">
        <v>27</v>
      </c>
      <c r="B29" s="50" t="s">
        <v>2</v>
      </c>
      <c r="C29" s="6" t="s">
        <v>303</v>
      </c>
      <c r="D29" s="35" t="s">
        <v>283</v>
      </c>
      <c r="E29" s="37" t="s">
        <v>64</v>
      </c>
      <c r="F29" s="35" t="s">
        <v>3</v>
      </c>
      <c r="G29" s="54" t="s">
        <v>38</v>
      </c>
    </row>
    <row r="30" spans="1:10" x14ac:dyDescent="0.25">
      <c r="A30" s="5">
        <v>28</v>
      </c>
      <c r="B30" s="50" t="s">
        <v>251</v>
      </c>
      <c r="C30" s="6" t="s">
        <v>303</v>
      </c>
      <c r="D30" s="35" t="s">
        <v>283</v>
      </c>
      <c r="E30" s="37" t="s">
        <v>64</v>
      </c>
      <c r="F30" s="54" t="s">
        <v>253</v>
      </c>
      <c r="G30" s="54" t="s">
        <v>252</v>
      </c>
    </row>
    <row r="31" spans="1:10" x14ac:dyDescent="0.25">
      <c r="A31" s="5">
        <v>29</v>
      </c>
      <c r="B31" s="19" t="s">
        <v>265</v>
      </c>
      <c r="C31" s="6" t="s">
        <v>303</v>
      </c>
      <c r="D31" s="35" t="s">
        <v>283</v>
      </c>
      <c r="E31" s="37" t="s">
        <v>64</v>
      </c>
      <c r="F31" s="6" t="s">
        <v>1</v>
      </c>
      <c r="G31" s="6" t="s">
        <v>264</v>
      </c>
    </row>
    <row r="32" spans="1:10" x14ac:dyDescent="0.25">
      <c r="B32" s="29"/>
      <c r="C32" s="9"/>
      <c r="D32" s="9"/>
      <c r="E32" s="9"/>
      <c r="F32" s="9"/>
    </row>
    <row r="33" spans="5:6" x14ac:dyDescent="0.25">
      <c r="E33" s="33"/>
    </row>
    <row r="34" spans="5:6" x14ac:dyDescent="0.25">
      <c r="E34" s="33"/>
    </row>
    <row r="35" spans="5:6" x14ac:dyDescent="0.25">
      <c r="E35" s="33"/>
      <c r="F35" s="76"/>
    </row>
    <row r="38" spans="5:6" x14ac:dyDescent="0.25">
      <c r="E38" s="76"/>
      <c r="F38" s="64"/>
    </row>
    <row r="39" spans="5:6" x14ac:dyDescent="0.25">
      <c r="F39" s="64"/>
    </row>
    <row r="40" spans="5:6" x14ac:dyDescent="0.25">
      <c r="F40" s="64"/>
    </row>
  </sheetData>
  <mergeCells count="1">
    <mergeCell ref="B1:G1"/>
  </mergeCells>
  <phoneticPr fontId="26" type="noConversion"/>
  <printOptions horizontalCentered="1"/>
  <pageMargins left="0.15748031496062992" right="0.15748031496062992" top="0.15748031496062992" bottom="0.15748031496062992" header="0.15748031496062992" footer="0.15748031496062992"/>
  <pageSetup paperSize="9" scale="89" orientation="landscape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E7D1-FEBA-4C74-B8CB-8806685B668C}">
  <sheetPr codeName="Planilha10"/>
  <dimension ref="A1:G21"/>
  <sheetViews>
    <sheetView showGridLines="0" workbookViewId="0">
      <selection activeCell="B3" sqref="B3:B21"/>
    </sheetView>
  </sheetViews>
  <sheetFormatPr defaultRowHeight="15" x14ac:dyDescent="0.25"/>
  <cols>
    <col min="1" max="1" width="3" bestFit="1" customWidth="1"/>
    <col min="2" max="2" width="18.7109375" bestFit="1" customWidth="1"/>
    <col min="3" max="3" width="32.5703125" bestFit="1" customWidth="1"/>
    <col min="4" max="4" width="16.28515625" bestFit="1" customWidth="1"/>
    <col min="5" max="5" width="15.5703125" bestFit="1" customWidth="1"/>
    <col min="6" max="6" width="14.140625" bestFit="1" customWidth="1"/>
    <col min="7" max="7" width="21" style="63" bestFit="1" customWidth="1"/>
  </cols>
  <sheetData>
    <row r="1" spans="1:7" ht="24.95" customHeight="1" x14ac:dyDescent="0.25">
      <c r="A1" s="4"/>
      <c r="B1" s="96" t="s">
        <v>271</v>
      </c>
      <c r="C1" s="97"/>
      <c r="D1" s="97"/>
      <c r="E1" s="97"/>
      <c r="F1" s="97"/>
      <c r="G1" s="97"/>
    </row>
    <row r="2" spans="1:7" ht="25.5" x14ac:dyDescent="0.25">
      <c r="A2" s="4"/>
      <c r="B2" s="48" t="s">
        <v>35</v>
      </c>
      <c r="C2" s="49" t="s">
        <v>228</v>
      </c>
      <c r="D2" s="49" t="s">
        <v>229</v>
      </c>
      <c r="E2" s="49" t="s">
        <v>36</v>
      </c>
      <c r="F2" s="49" t="s">
        <v>37</v>
      </c>
      <c r="G2" s="49" t="s">
        <v>49</v>
      </c>
    </row>
    <row r="3" spans="1:7" x14ac:dyDescent="0.25">
      <c r="A3" s="26">
        <v>1</v>
      </c>
      <c r="B3" s="80" t="s">
        <v>236</v>
      </c>
      <c r="C3" s="80" t="s">
        <v>326</v>
      </c>
      <c r="D3" s="27" t="s">
        <v>304</v>
      </c>
      <c r="E3" s="87" t="s">
        <v>125</v>
      </c>
      <c r="F3" s="27" t="s">
        <v>9</v>
      </c>
      <c r="G3" s="69" t="s">
        <v>237</v>
      </c>
    </row>
    <row r="4" spans="1:7" x14ac:dyDescent="0.25">
      <c r="A4" s="26">
        <v>2</v>
      </c>
      <c r="B4" s="80" t="s">
        <v>242</v>
      </c>
      <c r="C4" s="80" t="s">
        <v>303</v>
      </c>
      <c r="D4" s="27" t="s">
        <v>304</v>
      </c>
      <c r="E4" s="87" t="s">
        <v>125</v>
      </c>
      <c r="F4" s="27" t="s">
        <v>243</v>
      </c>
      <c r="G4" s="69" t="s">
        <v>244</v>
      </c>
    </row>
    <row r="5" spans="1:7" x14ac:dyDescent="0.25">
      <c r="A5" s="26">
        <v>3</v>
      </c>
      <c r="B5" s="93" t="s">
        <v>275</v>
      </c>
      <c r="C5" s="93" t="s">
        <v>295</v>
      </c>
      <c r="D5" s="27" t="s">
        <v>286</v>
      </c>
      <c r="E5" s="87" t="s">
        <v>64</v>
      </c>
      <c r="F5" s="7" t="s">
        <v>196</v>
      </c>
      <c r="G5" s="7" t="s">
        <v>276</v>
      </c>
    </row>
    <row r="6" spans="1:7" x14ac:dyDescent="0.25">
      <c r="A6" s="26">
        <v>4</v>
      </c>
      <c r="B6" s="80" t="s">
        <v>248</v>
      </c>
      <c r="C6" s="80" t="s">
        <v>294</v>
      </c>
      <c r="D6" s="27" t="s">
        <v>304</v>
      </c>
      <c r="E6" s="87" t="s">
        <v>125</v>
      </c>
      <c r="F6" s="27" t="s">
        <v>246</v>
      </c>
      <c r="G6" s="69" t="s">
        <v>247</v>
      </c>
    </row>
    <row r="7" spans="1:7" x14ac:dyDescent="0.25">
      <c r="A7" s="26">
        <v>5</v>
      </c>
      <c r="B7" s="80" t="s">
        <v>245</v>
      </c>
      <c r="C7" s="80" t="s">
        <v>300</v>
      </c>
      <c r="D7" s="27" t="s">
        <v>304</v>
      </c>
      <c r="E7" s="32" t="s">
        <v>64</v>
      </c>
      <c r="F7" s="27" t="s">
        <v>246</v>
      </c>
      <c r="G7" s="69" t="s">
        <v>247</v>
      </c>
    </row>
    <row r="8" spans="1:7" x14ac:dyDescent="0.25">
      <c r="A8" s="26">
        <v>6</v>
      </c>
      <c r="B8" s="38" t="s">
        <v>259</v>
      </c>
      <c r="C8" s="38" t="s">
        <v>300</v>
      </c>
      <c r="D8" s="27" t="s">
        <v>304</v>
      </c>
      <c r="E8" s="37" t="s">
        <v>64</v>
      </c>
      <c r="F8" s="38" t="s">
        <v>166</v>
      </c>
      <c r="G8" s="88" t="s">
        <v>260</v>
      </c>
    </row>
    <row r="9" spans="1:7" x14ac:dyDescent="0.25">
      <c r="A9" s="26">
        <v>7</v>
      </c>
      <c r="B9" s="23" t="s">
        <v>266</v>
      </c>
      <c r="C9" s="23" t="s">
        <v>300</v>
      </c>
      <c r="D9" s="27" t="s">
        <v>304</v>
      </c>
      <c r="E9" s="75" t="s">
        <v>64</v>
      </c>
      <c r="F9" s="23" t="s">
        <v>90</v>
      </c>
      <c r="G9" s="23" t="s">
        <v>267</v>
      </c>
    </row>
    <row r="10" spans="1:7" x14ac:dyDescent="0.25">
      <c r="A10" s="26">
        <v>8</v>
      </c>
      <c r="B10" s="80" t="s">
        <v>281</v>
      </c>
      <c r="C10" s="80" t="s">
        <v>299</v>
      </c>
      <c r="D10" s="27" t="s">
        <v>306</v>
      </c>
      <c r="E10" s="32" t="s">
        <v>64</v>
      </c>
      <c r="F10" s="27" t="s">
        <v>279</v>
      </c>
      <c r="G10" s="69" t="s">
        <v>280</v>
      </c>
    </row>
    <row r="11" spans="1:7" x14ac:dyDescent="0.25">
      <c r="A11" s="26">
        <v>9</v>
      </c>
      <c r="B11" s="80" t="s">
        <v>345</v>
      </c>
      <c r="C11" s="95" t="s">
        <v>300</v>
      </c>
      <c r="D11" s="25" t="s">
        <v>304</v>
      </c>
      <c r="E11" s="32" t="s">
        <v>64</v>
      </c>
      <c r="F11" s="27" t="s">
        <v>166</v>
      </c>
      <c r="G11" s="69" t="s">
        <v>202</v>
      </c>
    </row>
    <row r="12" spans="1:7" x14ac:dyDescent="0.25">
      <c r="A12" s="26">
        <v>10</v>
      </c>
      <c r="B12" s="80"/>
      <c r="C12" s="80" t="s">
        <v>282</v>
      </c>
      <c r="D12" s="25" t="s">
        <v>282</v>
      </c>
      <c r="E12" s="32"/>
      <c r="F12" s="27"/>
      <c r="G12" s="66"/>
    </row>
    <row r="13" spans="1:7" x14ac:dyDescent="0.25">
      <c r="A13" s="26">
        <v>11</v>
      </c>
      <c r="B13" s="80"/>
      <c r="C13" s="80" t="s">
        <v>282</v>
      </c>
      <c r="D13" s="25" t="s">
        <v>282</v>
      </c>
      <c r="E13" s="32"/>
      <c r="F13" s="27"/>
      <c r="G13" s="66"/>
    </row>
    <row r="14" spans="1:7" x14ac:dyDescent="0.25">
      <c r="A14" s="26">
        <v>12</v>
      </c>
      <c r="B14" s="80"/>
      <c r="C14" s="80" t="s">
        <v>282</v>
      </c>
      <c r="D14" s="25" t="s">
        <v>282</v>
      </c>
      <c r="E14" s="32"/>
      <c r="F14" s="27"/>
      <c r="G14" s="66"/>
    </row>
    <row r="15" spans="1:7" x14ac:dyDescent="0.25">
      <c r="A15" s="26">
        <v>13</v>
      </c>
      <c r="B15" s="80"/>
      <c r="C15" s="80" t="s">
        <v>282</v>
      </c>
      <c r="D15" s="25" t="s">
        <v>282</v>
      </c>
      <c r="E15" s="32"/>
      <c r="F15" s="27"/>
      <c r="G15" s="66"/>
    </row>
    <row r="16" spans="1:7" x14ac:dyDescent="0.25">
      <c r="A16" s="26">
        <v>14</v>
      </c>
      <c r="B16" s="80"/>
      <c r="C16" s="80" t="s">
        <v>282</v>
      </c>
      <c r="D16" s="25" t="s">
        <v>282</v>
      </c>
      <c r="E16" s="32"/>
      <c r="F16" s="27"/>
      <c r="G16" s="66"/>
    </row>
    <row r="17" spans="1:7" x14ac:dyDescent="0.25">
      <c r="A17" s="26">
        <v>15</v>
      </c>
      <c r="B17" s="80"/>
      <c r="C17" s="80" t="s">
        <v>282</v>
      </c>
      <c r="D17" s="25" t="s">
        <v>282</v>
      </c>
      <c r="E17" s="32"/>
      <c r="F17" s="27"/>
      <c r="G17" s="66"/>
    </row>
    <row r="18" spans="1:7" x14ac:dyDescent="0.25">
      <c r="A18" s="26">
        <v>16</v>
      </c>
      <c r="B18" s="80"/>
      <c r="C18" s="80" t="s">
        <v>282</v>
      </c>
      <c r="D18" s="25" t="s">
        <v>282</v>
      </c>
      <c r="E18" s="32"/>
      <c r="F18" s="27"/>
      <c r="G18" s="66"/>
    </row>
    <row r="19" spans="1:7" x14ac:dyDescent="0.25">
      <c r="A19" s="24">
        <v>17</v>
      </c>
      <c r="B19" s="84"/>
      <c r="C19" s="84" t="s">
        <v>282</v>
      </c>
      <c r="D19" s="36" t="s">
        <v>282</v>
      </c>
      <c r="E19" s="37"/>
      <c r="F19" s="38"/>
      <c r="G19" s="68"/>
    </row>
    <row r="20" spans="1:7" x14ac:dyDescent="0.25">
      <c r="A20" s="3">
        <v>18</v>
      </c>
      <c r="B20" s="84"/>
      <c r="C20" s="84" t="s">
        <v>282</v>
      </c>
      <c r="D20" s="36" t="s">
        <v>282</v>
      </c>
      <c r="E20" s="37"/>
      <c r="F20" s="38"/>
      <c r="G20" s="68"/>
    </row>
    <row r="21" spans="1:7" x14ac:dyDescent="0.25">
      <c r="A21" s="3">
        <v>19</v>
      </c>
      <c r="B21" s="80"/>
      <c r="C21" s="80" t="s">
        <v>282</v>
      </c>
      <c r="D21" s="25" t="s">
        <v>282</v>
      </c>
      <c r="E21" s="32"/>
      <c r="F21" s="27"/>
      <c r="G21" s="66"/>
    </row>
  </sheetData>
  <mergeCells count="1">
    <mergeCell ref="B1:G1"/>
  </mergeCells>
  <printOptions horizontalCentered="1"/>
  <pageMargins left="0.19685039370078741" right="0.15748031496062992" top="0.78740157480314965" bottom="0.78740157480314965" header="0.31496062992125984" footer="0.31496062992125984"/>
  <pageSetup paperSize="9" scale="95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21B1-B5EB-47B7-843B-6D321C927A23}">
  <sheetPr codeName="Planilha5"/>
  <dimension ref="A1:H27"/>
  <sheetViews>
    <sheetView showGridLines="0" workbookViewId="0">
      <selection activeCell="B3" sqref="B3:B27"/>
    </sheetView>
  </sheetViews>
  <sheetFormatPr defaultRowHeight="15" x14ac:dyDescent="0.25"/>
  <cols>
    <col min="1" max="1" width="3" bestFit="1" customWidth="1"/>
    <col min="2" max="2" width="18.7109375" bestFit="1" customWidth="1"/>
    <col min="3" max="3" width="32.140625" bestFit="1" customWidth="1"/>
    <col min="4" max="4" width="17.7109375" bestFit="1" customWidth="1"/>
    <col min="5" max="5" width="16.5703125" bestFit="1" customWidth="1"/>
    <col min="6" max="6" width="22" bestFit="1" customWidth="1"/>
    <col min="7" max="7" width="23.7109375" bestFit="1" customWidth="1"/>
  </cols>
  <sheetData>
    <row r="1" spans="1:7" ht="24.95" customHeight="1" x14ac:dyDescent="0.25">
      <c r="A1" s="4"/>
      <c r="B1" s="96" t="s">
        <v>208</v>
      </c>
      <c r="C1" s="97"/>
      <c r="D1" s="97"/>
      <c r="E1" s="97"/>
      <c r="F1" s="97"/>
      <c r="G1" s="97"/>
    </row>
    <row r="2" spans="1:7" ht="25.5" x14ac:dyDescent="0.25">
      <c r="A2" s="4"/>
      <c r="B2" s="48" t="s">
        <v>35</v>
      </c>
      <c r="C2" s="49" t="s">
        <v>228</v>
      </c>
      <c r="D2" s="49" t="s">
        <v>229</v>
      </c>
      <c r="E2" s="49" t="s">
        <v>36</v>
      </c>
      <c r="F2" s="49" t="s">
        <v>37</v>
      </c>
      <c r="G2" s="49" t="s">
        <v>49</v>
      </c>
    </row>
    <row r="3" spans="1:7" x14ac:dyDescent="0.25">
      <c r="A3" s="26">
        <v>1</v>
      </c>
      <c r="B3" s="80" t="s">
        <v>226</v>
      </c>
      <c r="C3" s="3" t="s">
        <v>282</v>
      </c>
      <c r="D3" s="27" t="s">
        <v>225</v>
      </c>
      <c r="E3" s="32" t="s">
        <v>125</v>
      </c>
      <c r="F3" s="27" t="s">
        <v>196</v>
      </c>
      <c r="G3" s="27" t="s">
        <v>268</v>
      </c>
    </row>
    <row r="4" spans="1:7" x14ac:dyDescent="0.25">
      <c r="A4" s="26">
        <v>2</v>
      </c>
      <c r="B4" s="80" t="s">
        <v>180</v>
      </c>
      <c r="C4" s="3" t="s">
        <v>282</v>
      </c>
      <c r="D4" s="27" t="s">
        <v>283</v>
      </c>
      <c r="E4" s="32" t="s">
        <v>193</v>
      </c>
      <c r="F4" s="27" t="s">
        <v>195</v>
      </c>
      <c r="G4" s="27" t="s">
        <v>199</v>
      </c>
    </row>
    <row r="5" spans="1:7" x14ac:dyDescent="0.25">
      <c r="A5" s="26">
        <v>3</v>
      </c>
      <c r="B5" s="80" t="s">
        <v>215</v>
      </c>
      <c r="C5" s="3" t="s">
        <v>282</v>
      </c>
      <c r="D5" s="27" t="s">
        <v>336</v>
      </c>
      <c r="E5" s="32" t="s">
        <v>125</v>
      </c>
      <c r="F5" s="27" t="s">
        <v>98</v>
      </c>
      <c r="G5" s="27" t="s">
        <v>216</v>
      </c>
    </row>
    <row r="6" spans="1:7" x14ac:dyDescent="0.25">
      <c r="A6" s="26">
        <v>4</v>
      </c>
      <c r="B6" s="79" t="s">
        <v>256</v>
      </c>
      <c r="C6" s="7" t="s">
        <v>282</v>
      </c>
      <c r="D6" s="30" t="s">
        <v>273</v>
      </c>
      <c r="E6" s="77" t="s">
        <v>193</v>
      </c>
      <c r="F6" s="30" t="s">
        <v>196</v>
      </c>
      <c r="G6" s="30" t="s">
        <v>216</v>
      </c>
    </row>
    <row r="7" spans="1:7" x14ac:dyDescent="0.25">
      <c r="A7" s="26">
        <v>5</v>
      </c>
      <c r="B7" s="80" t="s">
        <v>233</v>
      </c>
      <c r="C7" s="3" t="s">
        <v>332</v>
      </c>
      <c r="D7" s="27" t="s">
        <v>336</v>
      </c>
      <c r="E7" s="32" t="s">
        <v>64</v>
      </c>
      <c r="F7" s="27" t="s">
        <v>196</v>
      </c>
      <c r="G7" s="27" t="s">
        <v>234</v>
      </c>
    </row>
    <row r="8" spans="1:7" x14ac:dyDescent="0.25">
      <c r="A8" s="26">
        <v>6</v>
      </c>
      <c r="B8" s="80" t="s">
        <v>182</v>
      </c>
      <c r="C8" s="7" t="s">
        <v>331</v>
      </c>
      <c r="D8" s="27" t="s">
        <v>338</v>
      </c>
      <c r="E8" s="32" t="s">
        <v>235</v>
      </c>
      <c r="F8" s="27" t="s">
        <v>196</v>
      </c>
      <c r="G8" s="27" t="s">
        <v>200</v>
      </c>
    </row>
    <row r="9" spans="1:7" x14ac:dyDescent="0.25">
      <c r="A9" s="26">
        <v>7</v>
      </c>
      <c r="B9" s="80" t="s">
        <v>183</v>
      </c>
      <c r="C9" s="3" t="s">
        <v>282</v>
      </c>
      <c r="D9" s="27" t="s">
        <v>337</v>
      </c>
      <c r="E9" s="32" t="s">
        <v>125</v>
      </c>
      <c r="F9" s="27" t="s">
        <v>196</v>
      </c>
      <c r="G9" s="27" t="s">
        <v>201</v>
      </c>
    </row>
    <row r="10" spans="1:7" x14ac:dyDescent="0.25">
      <c r="A10" s="26">
        <v>8</v>
      </c>
      <c r="B10" s="80" t="s">
        <v>257</v>
      </c>
      <c r="C10" s="3" t="s">
        <v>333</v>
      </c>
      <c r="D10" s="27" t="s">
        <v>336</v>
      </c>
      <c r="E10" s="32" t="s">
        <v>64</v>
      </c>
      <c r="F10" s="27" t="s">
        <v>196</v>
      </c>
      <c r="G10" s="69" t="s">
        <v>258</v>
      </c>
    </row>
    <row r="11" spans="1:7" x14ac:dyDescent="0.25">
      <c r="A11" s="26">
        <v>9</v>
      </c>
      <c r="B11" s="79" t="s">
        <v>269</v>
      </c>
      <c r="C11" s="7" t="s">
        <v>331</v>
      </c>
      <c r="D11" s="30" t="s">
        <v>336</v>
      </c>
      <c r="E11" s="77" t="s">
        <v>64</v>
      </c>
      <c r="F11" s="30" t="s">
        <v>196</v>
      </c>
      <c r="G11" s="30" t="s">
        <v>270</v>
      </c>
    </row>
    <row r="12" spans="1:7" x14ac:dyDescent="0.25">
      <c r="A12" s="26">
        <v>10</v>
      </c>
      <c r="B12" s="79" t="s">
        <v>274</v>
      </c>
      <c r="C12" s="3" t="s">
        <v>333</v>
      </c>
      <c r="D12" s="30" t="s">
        <v>336</v>
      </c>
      <c r="E12" s="77" t="s">
        <v>64</v>
      </c>
      <c r="F12" s="30" t="s">
        <v>196</v>
      </c>
      <c r="G12" s="30" t="s">
        <v>204</v>
      </c>
    </row>
    <row r="13" spans="1:7" x14ac:dyDescent="0.25">
      <c r="A13" s="26">
        <v>11</v>
      </c>
      <c r="B13" s="80" t="s">
        <v>184</v>
      </c>
      <c r="C13" s="3" t="s">
        <v>282</v>
      </c>
      <c r="D13" s="27" t="s">
        <v>283</v>
      </c>
      <c r="E13" s="32" t="s">
        <v>193</v>
      </c>
      <c r="F13" s="27" t="s">
        <v>137</v>
      </c>
      <c r="G13" s="27" t="s">
        <v>202</v>
      </c>
    </row>
    <row r="14" spans="1:7" x14ac:dyDescent="0.25">
      <c r="A14" s="26">
        <v>12</v>
      </c>
      <c r="B14" s="80" t="s">
        <v>185</v>
      </c>
      <c r="C14" s="3" t="s">
        <v>282</v>
      </c>
      <c r="D14" s="27" t="s">
        <v>283</v>
      </c>
      <c r="E14" s="32" t="s">
        <v>193</v>
      </c>
      <c r="F14" s="27" t="s">
        <v>197</v>
      </c>
      <c r="G14" s="27" t="s">
        <v>203</v>
      </c>
    </row>
    <row r="15" spans="1:7" x14ac:dyDescent="0.25">
      <c r="A15" s="26">
        <v>13</v>
      </c>
      <c r="B15" s="80" t="s">
        <v>186</v>
      </c>
      <c r="C15" s="3" t="s">
        <v>282</v>
      </c>
      <c r="D15" s="27" t="s">
        <v>336</v>
      </c>
      <c r="E15" s="32" t="s">
        <v>50</v>
      </c>
      <c r="F15" s="27" t="s">
        <v>198</v>
      </c>
      <c r="G15" s="27" t="s">
        <v>89</v>
      </c>
    </row>
    <row r="16" spans="1:7" x14ac:dyDescent="0.25">
      <c r="A16" s="26">
        <v>14</v>
      </c>
      <c r="B16" s="80" t="s">
        <v>255</v>
      </c>
      <c r="C16" s="3" t="s">
        <v>282</v>
      </c>
      <c r="D16" s="27" t="s">
        <v>283</v>
      </c>
      <c r="E16" s="32" t="s">
        <v>194</v>
      </c>
      <c r="F16" s="27" t="s">
        <v>196</v>
      </c>
      <c r="G16" s="27" t="s">
        <v>89</v>
      </c>
    </row>
    <row r="17" spans="1:8" x14ac:dyDescent="0.25">
      <c r="A17" s="26">
        <v>15</v>
      </c>
      <c r="B17" s="80" t="s">
        <v>189</v>
      </c>
      <c r="C17" s="3" t="s">
        <v>334</v>
      </c>
      <c r="D17" s="27" t="s">
        <v>336</v>
      </c>
      <c r="E17" s="32" t="s">
        <v>64</v>
      </c>
      <c r="F17" s="27" t="s">
        <v>71</v>
      </c>
      <c r="G17" s="27" t="s">
        <v>205</v>
      </c>
    </row>
    <row r="18" spans="1:8" x14ac:dyDescent="0.25">
      <c r="A18" s="26">
        <v>16</v>
      </c>
      <c r="B18" s="80" t="s">
        <v>187</v>
      </c>
      <c r="C18" s="3" t="s">
        <v>282</v>
      </c>
      <c r="D18" s="27" t="s">
        <v>336</v>
      </c>
      <c r="E18" s="32" t="s">
        <v>194</v>
      </c>
      <c r="F18" s="27" t="s">
        <v>196</v>
      </c>
      <c r="G18" s="27" t="s">
        <v>204</v>
      </c>
    </row>
    <row r="19" spans="1:8" x14ac:dyDescent="0.25">
      <c r="A19" s="24">
        <v>17</v>
      </c>
      <c r="B19" s="84" t="s">
        <v>188</v>
      </c>
      <c r="C19" s="24" t="s">
        <v>282</v>
      </c>
      <c r="D19" s="38" t="s">
        <v>336</v>
      </c>
      <c r="E19" s="37" t="s">
        <v>194</v>
      </c>
      <c r="F19" s="38" t="s">
        <v>196</v>
      </c>
      <c r="G19" s="38" t="s">
        <v>204</v>
      </c>
    </row>
    <row r="20" spans="1:8" x14ac:dyDescent="0.25">
      <c r="A20" s="26">
        <v>18</v>
      </c>
      <c r="B20" s="84" t="s">
        <v>181</v>
      </c>
      <c r="C20" s="3" t="s">
        <v>335</v>
      </c>
      <c r="D20" s="38" t="s">
        <v>338</v>
      </c>
      <c r="E20" s="37" t="s">
        <v>64</v>
      </c>
      <c r="F20" s="38" t="s">
        <v>196</v>
      </c>
      <c r="G20" s="38" t="s">
        <v>200</v>
      </c>
    </row>
    <row r="21" spans="1:8" x14ac:dyDescent="0.25">
      <c r="A21" s="26">
        <v>19</v>
      </c>
      <c r="B21" s="80" t="s">
        <v>240</v>
      </c>
      <c r="C21" s="3" t="s">
        <v>333</v>
      </c>
      <c r="D21" s="27" t="s">
        <v>338</v>
      </c>
      <c r="E21" s="32" t="s">
        <v>64</v>
      </c>
      <c r="F21" s="27" t="s">
        <v>196</v>
      </c>
      <c r="G21" s="27" t="s">
        <v>241</v>
      </c>
    </row>
    <row r="22" spans="1:8" x14ac:dyDescent="0.25">
      <c r="A22" s="3">
        <v>20</v>
      </c>
      <c r="B22" s="84" t="s">
        <v>144</v>
      </c>
      <c r="C22" s="24" t="s">
        <v>282</v>
      </c>
      <c r="D22" s="38" t="s">
        <v>304</v>
      </c>
      <c r="E22" s="32" t="s">
        <v>125</v>
      </c>
      <c r="F22" s="27" t="s">
        <v>31</v>
      </c>
      <c r="G22" s="38" t="s">
        <v>127</v>
      </c>
    </row>
    <row r="23" spans="1:8" x14ac:dyDescent="0.25">
      <c r="A23" s="3">
        <v>21</v>
      </c>
      <c r="B23" s="27" t="s">
        <v>191</v>
      </c>
      <c r="C23" s="3" t="s">
        <v>335</v>
      </c>
      <c r="D23" s="27" t="s">
        <v>338</v>
      </c>
      <c r="E23" s="32" t="s">
        <v>64</v>
      </c>
      <c r="F23" s="27" t="s">
        <v>92</v>
      </c>
      <c r="G23" s="27" t="s">
        <v>150</v>
      </c>
    </row>
    <row r="24" spans="1:8" x14ac:dyDescent="0.25">
      <c r="A24" s="3">
        <v>22</v>
      </c>
      <c r="B24" s="27" t="s">
        <v>190</v>
      </c>
      <c r="C24" s="24" t="s">
        <v>282</v>
      </c>
      <c r="D24" s="38" t="s">
        <v>283</v>
      </c>
      <c r="E24" s="37" t="s">
        <v>193</v>
      </c>
      <c r="F24" s="38" t="s">
        <v>71</v>
      </c>
      <c r="G24" s="38" t="s">
        <v>150</v>
      </c>
    </row>
    <row r="25" spans="1:8" x14ac:dyDescent="0.25">
      <c r="A25" s="3">
        <v>23</v>
      </c>
      <c r="B25" s="27" t="s">
        <v>192</v>
      </c>
      <c r="C25" s="3" t="s">
        <v>333</v>
      </c>
      <c r="D25" s="27" t="s">
        <v>336</v>
      </c>
      <c r="E25" s="32" t="s">
        <v>50</v>
      </c>
      <c r="F25" s="27" t="s">
        <v>196</v>
      </c>
      <c r="G25" s="27" t="s">
        <v>206</v>
      </c>
    </row>
    <row r="26" spans="1:8" x14ac:dyDescent="0.25">
      <c r="A26" s="3">
        <v>24</v>
      </c>
      <c r="B26" s="27" t="s">
        <v>224</v>
      </c>
      <c r="C26" s="3" t="s">
        <v>282</v>
      </c>
      <c r="D26" s="27" t="s">
        <v>337</v>
      </c>
      <c r="E26" s="32" t="s">
        <v>194</v>
      </c>
      <c r="F26" s="27" t="s">
        <v>196</v>
      </c>
      <c r="G26" s="27" t="s">
        <v>207</v>
      </c>
    </row>
    <row r="27" spans="1:8" x14ac:dyDescent="0.25">
      <c r="A27" s="3">
        <v>25</v>
      </c>
      <c r="B27" s="98" t="s">
        <v>343</v>
      </c>
      <c r="C27" s="23"/>
      <c r="D27" s="31" t="s">
        <v>336</v>
      </c>
      <c r="E27" s="94" t="s">
        <v>64</v>
      </c>
      <c r="F27" s="31" t="s">
        <v>196</v>
      </c>
      <c r="G27" s="31" t="s">
        <v>344</v>
      </c>
      <c r="H27" s="2"/>
    </row>
  </sheetData>
  <mergeCells count="1">
    <mergeCell ref="B1:G1"/>
  </mergeCells>
  <printOptions horizontalCentered="1"/>
  <pageMargins left="0.19685039370078741" right="0.15748031496062992" top="0.78740157480314965" bottom="0.78740157480314965" header="0.31496062992125984" footer="0.31496062992125984"/>
  <pageSetup paperSize="9" scale="95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A450-D26D-4449-B319-ECF5BEB5593D}">
  <sheetPr codeName="Planilha4"/>
  <dimension ref="A1:F130"/>
  <sheetViews>
    <sheetView workbookViewId="0">
      <selection activeCell="A130" sqref="A130"/>
    </sheetView>
  </sheetViews>
  <sheetFormatPr defaultRowHeight="15" x14ac:dyDescent="0.25"/>
  <cols>
    <col min="1" max="1" width="19" bestFit="1" customWidth="1"/>
    <col min="2" max="2" width="20.28515625" bestFit="1" customWidth="1"/>
    <col min="3" max="3" width="12.42578125" bestFit="1" customWidth="1"/>
    <col min="4" max="4" width="15.140625" bestFit="1" customWidth="1"/>
    <col min="5" max="5" width="23.7109375" bestFit="1" customWidth="1"/>
    <col min="6" max="6" width="14.85546875" bestFit="1" customWidth="1"/>
    <col min="9" max="9" width="19" bestFit="1" customWidth="1"/>
  </cols>
  <sheetData>
    <row r="1" spans="1:6" x14ac:dyDescent="0.25">
      <c r="A1" s="20" t="s">
        <v>35</v>
      </c>
      <c r="B1" s="21" t="s">
        <v>177</v>
      </c>
      <c r="C1" s="22" t="s">
        <v>178</v>
      </c>
      <c r="D1" s="21" t="s">
        <v>179</v>
      </c>
      <c r="E1" s="13" t="s">
        <v>36</v>
      </c>
      <c r="F1" s="21" t="s">
        <v>272</v>
      </c>
    </row>
    <row r="2" spans="1:6" x14ac:dyDescent="0.25">
      <c r="A2" s="3" t="s">
        <v>189</v>
      </c>
      <c r="B2" s="81" t="str">
        <f t="shared" ref="B2:B33" ca="1" si="0">UPPER(TRIM(UPPER(IFERROR(VLOOKUP(A2,INDIRECT("'BAIXADA'!$B$3:$I$51"),3,FALSE),
IFERROR(VLOOKUP(A2,INDIRECT("'NORTE'!$B$3:$I$21"),3,FALSE),
IFERROR(VLOOKUP(A2,INDIRECT("'SUL'!$B$3:$I$31"),3,FALSE),
IFERROR(VLOOKUP(A2,INDIRECT("'CONTIGENCIA'!$B$3:$I$22"),3,FALSE),
IFERROR(VLOOKUP(A2,INDIRECT("'ESPECIAIS'!$B$3:$I$27"),3,FALSE),""))))))))</f>
        <v>ERICK HYLARIO</v>
      </c>
      <c r="C2" s="81" t="str">
        <f t="shared" ref="C2:C33" ca="1" si="1">IF(OR(B2="CARLOS FERNANDES", B2="GISELLE G. FONSECA"), "BAIXADA",
 IF(OR(B2="ISADORA ROSALINO", B2="JEHNIFFER PIRES"), "NORTE",
 IF(OR(B2="LUIZ FILHO", B2="MARCUS", B2="JAQUELINE PASTÓRIO"), "SUL",
 IF(OR(B2="AIMAR FILHO", B2="ERICK HYLARIO", B2="IGOR CARNEIRO", B2="CESAR", B2="DANRLEI"), "ESPECIAIS",""))))</f>
        <v>ESPECIAIS</v>
      </c>
      <c r="D2" s="82"/>
      <c r="E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2" s="82" t="str">
        <f>UPPER(IF(SUM(COUNTIF(BAIXADA!B:B,A2),COUNTIF(NORTE!B:B,A2),COUNTIF(SUL!B:B,A2))&gt;0,"CIVIS",
IF(COUNTIF(CONTIGENCIA!B:B,A2)&gt;0,"CONTINGENCIA",IF(COUNTIF(ESPECIAIS!B:B,A2)&gt;0,"ESPECIAIS",""))))</f>
        <v>ESPECIAIS</v>
      </c>
    </row>
    <row r="3" spans="1:6" x14ac:dyDescent="0.25">
      <c r="A3" s="3" t="s">
        <v>106</v>
      </c>
      <c r="B3" s="81" t="str">
        <f t="shared" ca="1" si="0"/>
        <v>GISELLE G. FONSECA</v>
      </c>
      <c r="C3" s="81" t="str">
        <f t="shared" ca="1" si="1"/>
        <v>BAIXADA</v>
      </c>
      <c r="D3" s="82"/>
      <c r="E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3" s="82" t="str">
        <f>UPPER(IF(SUM(COUNTIF(BAIXADA!B:B,A3),COUNTIF(NORTE!B:B,A3),COUNTIF(SUL!B:B,A3))&gt;0,"CIVIS",
IF(COUNTIF(CONTIGENCIA!B:B,A3)&gt;0,"CONTINGENCIA",IF(COUNTIF(ESPECIAIS!B:B,A3)&gt;0,"ESPECIAIS",""))))</f>
        <v>CIVIS</v>
      </c>
    </row>
    <row r="4" spans="1:6" x14ac:dyDescent="0.25">
      <c r="A4" s="3" t="s">
        <v>52</v>
      </c>
      <c r="B4" s="81" t="str">
        <f t="shared" ca="1" si="0"/>
        <v>LUIZ FILHO</v>
      </c>
      <c r="C4" s="81" t="str">
        <f t="shared" ca="1" si="1"/>
        <v>SUL</v>
      </c>
      <c r="D4" s="82"/>
      <c r="E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PROVISORIO</v>
      </c>
      <c r="F4" s="82" t="str">
        <f>UPPER(IF(SUM(COUNTIF(BAIXADA!B:B,A4),COUNTIF(NORTE!B:B,A4),COUNTIF(SUL!B:B,A4))&gt;0,"CIVIS",
IF(COUNTIF(CONTIGENCIA!B:B,A4)&gt;0,"CONTINGENCIA",IF(COUNTIF(ESPECIAIS!B:B,A4)&gt;0,"ESPECIAIS",""))))</f>
        <v>CIVIS</v>
      </c>
    </row>
    <row r="5" spans="1:6" x14ac:dyDescent="0.25">
      <c r="A5" s="3" t="s">
        <v>102</v>
      </c>
      <c r="B5" s="81" t="str">
        <f t="shared" ca="1" si="0"/>
        <v>CARLOS FERNANDES</v>
      </c>
      <c r="C5" s="81" t="str">
        <f t="shared" ca="1" si="1"/>
        <v>BAIXADA</v>
      </c>
      <c r="D5" s="82"/>
      <c r="E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5" s="82" t="str">
        <f>UPPER(IF(SUM(COUNTIF(BAIXADA!B:B,A5),COUNTIF(NORTE!B:B,A5),COUNTIF(SUL!B:B,A5))&gt;0,"CIVIS",
IF(COUNTIF(CONTIGENCIA!B:B,A5)&gt;0,"CONTINGENCIA",IF(COUNTIF(ESPECIAIS!B:B,A5)&gt;0,"ESPECIAIS",""))))</f>
        <v>CIVIS</v>
      </c>
    </row>
    <row r="6" spans="1:6" x14ac:dyDescent="0.25">
      <c r="A6" s="3" t="s">
        <v>213</v>
      </c>
      <c r="B6" s="81" t="str">
        <f t="shared" ca="1" si="0"/>
        <v>GISELLE G. FONSECA</v>
      </c>
      <c r="C6" s="81" t="str">
        <f t="shared" ca="1" si="1"/>
        <v>BAIXADA</v>
      </c>
      <c r="D6" s="82"/>
      <c r="E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6" s="82" t="str">
        <f>UPPER(IF(SUM(COUNTIF(BAIXADA!B:B,A6),COUNTIF(NORTE!B:B,A6),COUNTIF(SUL!B:B,A6))&gt;0,"CIVIS",
IF(COUNTIF(CONTIGENCIA!B:B,A6)&gt;0,"CONTINGENCIA",IF(COUNTIF(ESPECIAIS!B:B,A6)&gt;0,"ESPECIAIS",""))))</f>
        <v>CIVIS</v>
      </c>
    </row>
    <row r="7" spans="1:6" x14ac:dyDescent="0.25">
      <c r="A7" s="3" t="s">
        <v>176</v>
      </c>
      <c r="B7" s="81" t="str">
        <f t="shared" ca="1" si="0"/>
        <v>CARLOS FERNANDES</v>
      </c>
      <c r="C7" s="81" t="str">
        <f t="shared" ca="1" si="1"/>
        <v>BAIXADA</v>
      </c>
      <c r="D7" s="82"/>
      <c r="E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7" s="82" t="str">
        <f>UPPER(IF(SUM(COUNTIF(BAIXADA!B:B,A7),COUNTIF(NORTE!B:B,A7),COUNTIF(SUL!B:B,A7))&gt;0,"CIVIS",
IF(COUNTIF(CONTIGENCIA!B:B,A7)&gt;0,"CONTINGENCIA",IF(COUNTIF(ESPECIAIS!B:B,A7)&gt;0,"ESPECIAIS",""))))</f>
        <v>CIVIS</v>
      </c>
    </row>
    <row r="8" spans="1:6" x14ac:dyDescent="0.25">
      <c r="A8" s="3" t="s">
        <v>181</v>
      </c>
      <c r="B8" s="81" t="str">
        <f t="shared" ca="1" si="0"/>
        <v>IGOR CARNEIRO</v>
      </c>
      <c r="C8" s="81" t="str">
        <f t="shared" ca="1" si="1"/>
        <v>ESPECIAIS</v>
      </c>
      <c r="D8" s="82"/>
      <c r="E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8" s="82" t="str">
        <f>UPPER(IF(SUM(COUNTIF(BAIXADA!B:B,A8),COUNTIF(NORTE!B:B,A8),COUNTIF(SUL!B:B,A8))&gt;0,"CIVIS",
IF(COUNTIF(CONTIGENCIA!B:B,A8)&gt;0,"CONTINGENCIA",IF(COUNTIF(ESPECIAIS!B:B,A8)&gt;0,"ESPECIAIS",""))))</f>
        <v>ESPECIAIS</v>
      </c>
    </row>
    <row r="9" spans="1:6" x14ac:dyDescent="0.25">
      <c r="A9" s="3" t="s">
        <v>209</v>
      </c>
      <c r="B9" s="81" t="str">
        <f t="shared" ca="1" si="0"/>
        <v>CARLOS FERNANDES</v>
      </c>
      <c r="C9" s="81" t="str">
        <f t="shared" ca="1" si="1"/>
        <v>BAIXADA</v>
      </c>
      <c r="D9" s="82"/>
      <c r="E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9" s="82" t="str">
        <f>UPPER(IF(SUM(COUNTIF(BAIXADA!B:B,A9),COUNTIF(NORTE!B:B,A9),COUNTIF(SUL!B:B,A9))&gt;0,"CIVIS",
IF(COUNTIF(CONTIGENCIA!B:B,A9)&gt;0,"CONTINGENCIA",IF(COUNTIF(ESPECIAIS!B:B,A9)&gt;0,"ESPECIAIS",""))))</f>
        <v>CIVIS</v>
      </c>
    </row>
    <row r="10" spans="1:6" x14ac:dyDescent="0.25">
      <c r="A10" s="3" t="s">
        <v>168</v>
      </c>
      <c r="B10" s="81" t="str">
        <f t="shared" ca="1" si="0"/>
        <v>CARLOS FERNANDES</v>
      </c>
      <c r="C10" s="81" t="str">
        <f t="shared" ca="1" si="1"/>
        <v>BAIXADA</v>
      </c>
      <c r="D10" s="82"/>
      <c r="E1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10" s="82" t="str">
        <f>UPPER(IF(SUM(COUNTIF(BAIXADA!B:B,A10),COUNTIF(NORTE!B:B,A10),COUNTIF(SUL!B:B,A10))&gt;0,"CIVIS",
IF(COUNTIF(CONTIGENCIA!B:B,A10)&gt;0,"CONTINGENCIA",IF(COUNTIF(ESPECIAIS!B:B,A10)&gt;0,"ESPECIAIS",""))))</f>
        <v>CIVIS</v>
      </c>
    </row>
    <row r="11" spans="1:6" x14ac:dyDescent="0.25">
      <c r="A11" s="3" t="s">
        <v>182</v>
      </c>
      <c r="B11" s="81" t="str">
        <f t="shared" ca="1" si="0"/>
        <v>IGOR CARNEIRO</v>
      </c>
      <c r="C11" s="81" t="str">
        <f t="shared" ca="1" si="1"/>
        <v>ESPECIAIS</v>
      </c>
      <c r="D11" s="82"/>
      <c r="E1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11" s="82" t="str">
        <f>UPPER(IF(SUM(COUNTIF(BAIXADA!B:B,A11),COUNTIF(NORTE!B:B,A11),COUNTIF(SUL!B:B,A11))&gt;0,"CIVIS",
IF(COUNTIF(CONTIGENCIA!B:B,A11)&gt;0,"CONTINGENCIA",IF(COUNTIF(ESPECIAIS!B:B,A11)&gt;0,"ESPECIAIS",""))))</f>
        <v>ESPECIAIS</v>
      </c>
    </row>
    <row r="12" spans="1:6" x14ac:dyDescent="0.25">
      <c r="A12" s="3" t="s">
        <v>212</v>
      </c>
      <c r="B12" s="81" t="str">
        <f t="shared" ca="1" si="0"/>
        <v>GISELLE G. FONSECA</v>
      </c>
      <c r="C12" s="81" t="str">
        <f t="shared" ca="1" si="1"/>
        <v>BAIXADA</v>
      </c>
      <c r="D12" s="82"/>
      <c r="E1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2" s="82" t="str">
        <f>UPPER(IF(SUM(COUNTIF(BAIXADA!B:B,A12),COUNTIF(NORTE!B:B,A12),COUNTIF(SUL!B:B,A12))&gt;0,"CIVIS",
IF(COUNTIF(CONTIGENCIA!B:B,A12)&gt;0,"CONTINGENCIA",IF(COUNTIF(ESPECIAIS!B:B,A12)&gt;0,"ESPECIAIS",""))))</f>
        <v>CIVIS</v>
      </c>
    </row>
    <row r="13" spans="1:6" x14ac:dyDescent="0.25">
      <c r="A13" s="3" t="s">
        <v>119</v>
      </c>
      <c r="B13" s="81" t="str">
        <f t="shared" ca="1" si="0"/>
        <v>CARLOS FERNANDES</v>
      </c>
      <c r="C13" s="81" t="str">
        <f t="shared" ca="1" si="1"/>
        <v>BAIXADA</v>
      </c>
      <c r="D13" s="82"/>
      <c r="E1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SUSPENSA</v>
      </c>
      <c r="F13" s="82" t="str">
        <f>UPPER(IF(SUM(COUNTIF(BAIXADA!B:B,A13),COUNTIF(NORTE!B:B,A13),COUNTIF(SUL!B:B,A13))&gt;0,"CIVIS",
IF(COUNTIF(CONTIGENCIA!B:B,A13)&gt;0,"CONTINGENCIA",IF(COUNTIF(ESPECIAIS!B:B,A13)&gt;0,"ESPECIAIS",""))))</f>
        <v>CIVIS</v>
      </c>
    </row>
    <row r="14" spans="1:6" x14ac:dyDescent="0.25">
      <c r="A14" s="3" t="s">
        <v>262</v>
      </c>
      <c r="B14" s="81" t="str">
        <f t="shared" ca="1" si="0"/>
        <v>CARLOS FERNANDES</v>
      </c>
      <c r="C14" s="81" t="str">
        <f t="shared" ca="1" si="1"/>
        <v>BAIXADA</v>
      </c>
      <c r="D14" s="82"/>
      <c r="E1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4" s="82" t="str">
        <f>UPPER(IF(SUM(COUNTIF(BAIXADA!B:B,A14),COUNTIF(NORTE!B:B,A14),COUNTIF(SUL!B:B,A14))&gt;0,"CIVIS",
IF(COUNTIF(CONTIGENCIA!B:B,A14)&gt;0,"CONTINGENCIA",IF(COUNTIF(ESPECIAIS!B:B,A14)&gt;0,"ESPECIAIS",""))))</f>
        <v>CIVIS</v>
      </c>
    </row>
    <row r="15" spans="1:6" x14ac:dyDescent="0.25">
      <c r="A15" s="3" t="s">
        <v>172</v>
      </c>
      <c r="B15" s="81" t="str">
        <f t="shared" ca="1" si="0"/>
        <v>CARLOS FERNANDES</v>
      </c>
      <c r="C15" s="81" t="str">
        <f t="shared" ca="1" si="1"/>
        <v>BAIXADA</v>
      </c>
      <c r="D15" s="82"/>
      <c r="E1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5" s="82" t="str">
        <f>UPPER(IF(SUM(COUNTIF(BAIXADA!B:B,A15),COUNTIF(NORTE!B:B,A15),COUNTIF(SUL!B:B,A15))&gt;0,"CIVIS",
IF(COUNTIF(CONTIGENCIA!B:B,A15)&gt;0,"CONTINGENCIA",IF(COUNTIF(ESPECIAIS!B:B,A15)&gt;0,"ESPECIAIS",""))))</f>
        <v>CIVIS</v>
      </c>
    </row>
    <row r="16" spans="1:6" x14ac:dyDescent="0.25">
      <c r="A16" s="3" t="s">
        <v>80</v>
      </c>
      <c r="B16" s="81" t="str">
        <f t="shared" ca="1" si="0"/>
        <v>GISELLE G. FONSECA</v>
      </c>
      <c r="C16" s="81" t="str">
        <f t="shared" ca="1" si="1"/>
        <v>BAIXADA</v>
      </c>
      <c r="D16" s="82"/>
      <c r="E1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16" s="82" t="str">
        <f>UPPER(IF(SUM(COUNTIF(BAIXADA!B:B,A16),COUNTIF(NORTE!B:B,A16),COUNTIF(SUL!B:B,A16))&gt;0,"CIVIS",
IF(COUNTIF(CONTIGENCIA!B:B,A16)&gt;0,"CONTINGENCIA",IF(COUNTIF(ESPECIAIS!B:B,A16)&gt;0,"ESPECIAIS",""))))</f>
        <v>CIVIS</v>
      </c>
    </row>
    <row r="17" spans="1:6" x14ac:dyDescent="0.25">
      <c r="A17" s="3" t="s">
        <v>250</v>
      </c>
      <c r="B17" s="81" t="str">
        <f t="shared" ca="1" si="0"/>
        <v>CARLOS FERNANDES</v>
      </c>
      <c r="C17" s="81" t="str">
        <f t="shared" ca="1" si="1"/>
        <v>BAIXADA</v>
      </c>
      <c r="D17" s="82"/>
      <c r="E1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17" s="82" t="str">
        <f>UPPER(IF(SUM(COUNTIF(BAIXADA!B:B,A17),COUNTIF(NORTE!B:B,A17),COUNTIF(SUL!B:B,A17))&gt;0,"CIVIS",
IF(COUNTIF(CONTIGENCIA!B:B,A17)&gt;0,"CONTINGENCIA",IF(COUNTIF(ESPECIAIS!B:B,A17)&gt;0,"ESPECIAIS",""))))</f>
        <v>CIVIS</v>
      </c>
    </row>
    <row r="18" spans="1:6" x14ac:dyDescent="0.25">
      <c r="A18" s="3" t="s">
        <v>113</v>
      </c>
      <c r="B18" s="81" t="str">
        <f t="shared" ca="1" si="0"/>
        <v>GISELLE G. FONSECA</v>
      </c>
      <c r="C18" s="81" t="str">
        <f t="shared" ca="1" si="1"/>
        <v>BAIXADA</v>
      </c>
      <c r="D18" s="82"/>
      <c r="E1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8" s="82" t="str">
        <f>UPPER(IF(SUM(COUNTIF(BAIXADA!B:B,A18),COUNTIF(NORTE!B:B,A18),COUNTIF(SUL!B:B,A18))&gt;0,"CIVIS",
IF(COUNTIF(CONTIGENCIA!B:B,A18)&gt;0,"CONTINGENCIA",IF(COUNTIF(ESPECIAIS!B:B,A18)&gt;0,"ESPECIAIS",""))))</f>
        <v>CIVIS</v>
      </c>
    </row>
    <row r="19" spans="1:6" x14ac:dyDescent="0.25">
      <c r="A19" s="3" t="s">
        <v>165</v>
      </c>
      <c r="B19" s="81" t="str">
        <f t="shared" ca="1" si="0"/>
        <v>CARLOS FERNANDES</v>
      </c>
      <c r="C19" s="81" t="str">
        <f t="shared" ca="1" si="1"/>
        <v>BAIXADA</v>
      </c>
      <c r="D19" s="82"/>
      <c r="E1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9" s="82" t="str">
        <f>UPPER(IF(SUM(COUNTIF(BAIXADA!B:B,A19),COUNTIF(NORTE!B:B,A19),COUNTIF(SUL!B:B,A19))&gt;0,"CIVIS",
IF(COUNTIF(CONTIGENCIA!B:B,A19)&gt;0,"CONTINGENCIA",IF(COUNTIF(ESPECIAIS!B:B,A19)&gt;0,"ESPECIAIS",""))))</f>
        <v>CIVIS</v>
      </c>
    </row>
    <row r="20" spans="1:6" x14ac:dyDescent="0.25">
      <c r="A20" s="3" t="s">
        <v>10</v>
      </c>
      <c r="B20" s="81" t="str">
        <f t="shared" ca="1" si="0"/>
        <v>GISELLE G. FONSECA</v>
      </c>
      <c r="C20" s="81" t="str">
        <f t="shared" ca="1" si="1"/>
        <v>BAIXADA</v>
      </c>
      <c r="D20" s="82"/>
      <c r="E2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20" s="82" t="str">
        <f>UPPER(IF(SUM(COUNTIF(BAIXADA!B:B,A20),COUNTIF(NORTE!B:B,A20),COUNTIF(SUL!B:B,A20))&gt;0,"CIVIS",
IF(COUNTIF(CONTIGENCIA!B:B,A20)&gt;0,"CONTINGENCIA",IF(COUNTIF(ESPECIAIS!B:B,A20)&gt;0,"ESPECIAIS",""))))</f>
        <v>CIVIS</v>
      </c>
    </row>
    <row r="21" spans="1:6" x14ac:dyDescent="0.25">
      <c r="A21" s="3" t="s">
        <v>79</v>
      </c>
      <c r="B21" s="81" t="str">
        <f t="shared" ca="1" si="0"/>
        <v>CARLOS FERNANDES</v>
      </c>
      <c r="C21" s="81" t="str">
        <f t="shared" ca="1" si="1"/>
        <v>BAIXADA</v>
      </c>
      <c r="D21" s="82"/>
      <c r="E2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21" s="82" t="str">
        <f>UPPER(IF(SUM(COUNTIF(BAIXADA!B:B,A21),COUNTIF(NORTE!B:B,A21),COUNTIF(SUL!B:B,A21))&gt;0,"CIVIS",
IF(COUNTIF(CONTIGENCIA!B:B,A21)&gt;0,"CONTINGENCIA",IF(COUNTIF(ESPECIAIS!B:B,A21)&gt;0,"ESPECIAIS",""))))</f>
        <v>CIVIS</v>
      </c>
    </row>
    <row r="22" spans="1:6" x14ac:dyDescent="0.25">
      <c r="A22" s="3" t="s">
        <v>132</v>
      </c>
      <c r="B22" s="81" t="str">
        <f t="shared" ca="1" si="0"/>
        <v>GISELLE G. FONSECA</v>
      </c>
      <c r="C22" s="81" t="str">
        <f t="shared" ca="1" si="1"/>
        <v>BAIXADA</v>
      </c>
      <c r="D22" s="82"/>
      <c r="E2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SUSPENSA</v>
      </c>
      <c r="F22" s="82" t="str">
        <f>UPPER(IF(SUM(COUNTIF(BAIXADA!B:B,A22),COUNTIF(NORTE!B:B,A22),COUNTIF(SUL!B:B,A22))&gt;0,"CIVIS",
IF(COUNTIF(CONTIGENCIA!B:B,A22)&gt;0,"CONTINGENCIA",IF(COUNTIF(ESPECIAIS!B:B,A22)&gt;0,"ESPECIAIS",""))))</f>
        <v>CIVIS</v>
      </c>
    </row>
    <row r="23" spans="1:6" x14ac:dyDescent="0.25">
      <c r="A23" s="3" t="s">
        <v>152</v>
      </c>
      <c r="B23" s="81" t="str">
        <f t="shared" ca="1" si="0"/>
        <v>ISADORA ROSALINO</v>
      </c>
      <c r="C23" s="81" t="str">
        <f t="shared" ca="1" si="1"/>
        <v>NORTE</v>
      </c>
      <c r="D23" s="82"/>
      <c r="E2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23" s="82" t="str">
        <f>UPPER(IF(SUM(COUNTIF(BAIXADA!B:B,A23),COUNTIF(NORTE!B:B,A23),COUNTIF(SUL!B:B,A23))&gt;0,"CIVIS",
IF(COUNTIF(CONTIGENCIA!B:B,A23)&gt;0,"CONTINGENCIA",IF(COUNTIF(ESPECIAIS!B:B,A23)&gt;0,"ESPECIAIS",""))))</f>
        <v>CIVIS</v>
      </c>
    </row>
    <row r="24" spans="1:6" x14ac:dyDescent="0.25">
      <c r="A24" s="3" t="s">
        <v>219</v>
      </c>
      <c r="B24" s="81" t="str">
        <f t="shared" ca="1" si="0"/>
        <v>GISELLE G. FONSECA</v>
      </c>
      <c r="C24" s="81" t="str">
        <f t="shared" ca="1" si="1"/>
        <v>BAIXADA</v>
      </c>
      <c r="D24" s="82"/>
      <c r="E2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24" s="82" t="str">
        <f>UPPER(IF(SUM(COUNTIF(BAIXADA!B:B,A24),COUNTIF(NORTE!B:B,A24),COUNTIF(SUL!B:B,A24))&gt;0,"CIVIS",
IF(COUNTIF(CONTIGENCIA!B:B,A24)&gt;0,"CONTINGENCIA",IF(COUNTIF(ESPECIAIS!B:B,A24)&gt;0,"ESPECIAIS",""))))</f>
        <v>CIVIS</v>
      </c>
    </row>
    <row r="25" spans="1:6" x14ac:dyDescent="0.25">
      <c r="A25" s="3" t="s">
        <v>169</v>
      </c>
      <c r="B25" s="81" t="str">
        <f t="shared" ca="1" si="0"/>
        <v>CARLOS FERNANDES</v>
      </c>
      <c r="C25" s="81" t="str">
        <f t="shared" ca="1" si="1"/>
        <v>BAIXADA</v>
      </c>
      <c r="D25" s="82"/>
      <c r="E2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25" s="82" t="str">
        <f>UPPER(IF(SUM(COUNTIF(BAIXADA!B:B,A25),COUNTIF(NORTE!B:B,A25),COUNTIF(SUL!B:B,A25))&gt;0,"CIVIS",
IF(COUNTIF(CONTIGENCIA!B:B,A25)&gt;0,"CONTINGENCIA",IF(COUNTIF(ESPECIAIS!B:B,A25)&gt;0,"ESPECIAIS",""))))</f>
        <v>CIVIS</v>
      </c>
    </row>
    <row r="26" spans="1:6" x14ac:dyDescent="0.25">
      <c r="A26" s="3" t="s">
        <v>116</v>
      </c>
      <c r="B26" s="81" t="str">
        <f t="shared" ca="1" si="0"/>
        <v>GISELLE G. FONSECA</v>
      </c>
      <c r="C26" s="81" t="str">
        <f t="shared" ca="1" si="1"/>
        <v>BAIXADA</v>
      </c>
      <c r="D26" s="82"/>
      <c r="E2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PROVISORIO</v>
      </c>
      <c r="F26" s="82" t="str">
        <f>UPPER(IF(SUM(COUNTIF(BAIXADA!B:B,A26),COUNTIF(NORTE!B:B,A26),COUNTIF(SUL!B:B,A26))&gt;0,"CIVIS",
IF(COUNTIF(CONTIGENCIA!B:B,A26)&gt;0,"CONTINGENCIA",IF(COUNTIF(ESPECIAIS!B:B,A26)&gt;0,"ESPECIAIS",""))))</f>
        <v>CIVIS</v>
      </c>
    </row>
    <row r="27" spans="1:6" x14ac:dyDescent="0.25">
      <c r="A27" s="3" t="s">
        <v>78</v>
      </c>
      <c r="B27" s="81" t="str">
        <f t="shared" ca="1" si="0"/>
        <v>CARLOS FERNANDES</v>
      </c>
      <c r="C27" s="81" t="str">
        <f t="shared" ca="1" si="1"/>
        <v>BAIXADA</v>
      </c>
      <c r="D27" s="82"/>
      <c r="E2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27" s="82" t="str">
        <f>UPPER(IF(SUM(COUNTIF(BAIXADA!B:B,A27),COUNTIF(NORTE!B:B,A27),COUNTIF(SUL!B:B,A27))&gt;0,"CIVIS",
IF(COUNTIF(CONTIGENCIA!B:B,A27)&gt;0,"CONTINGENCIA",IF(COUNTIF(ESPECIAIS!B:B,A27)&gt;0,"ESPECIAIS",""))))</f>
        <v>CIVIS</v>
      </c>
    </row>
    <row r="28" spans="1:6" x14ac:dyDescent="0.25">
      <c r="A28" s="3" t="s">
        <v>145</v>
      </c>
      <c r="B28" s="81" t="str">
        <f t="shared" ca="1" si="0"/>
        <v>GISELLE G. FONSECA</v>
      </c>
      <c r="C28" s="81" t="str">
        <f t="shared" ca="1" si="1"/>
        <v>BAIXADA</v>
      </c>
      <c r="D28" s="82"/>
      <c r="E2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PROVISORIO</v>
      </c>
      <c r="F28" s="82" t="str">
        <f>UPPER(IF(SUM(COUNTIF(BAIXADA!B:B,A28),COUNTIF(NORTE!B:B,A28),COUNTIF(SUL!B:B,A28))&gt;0,"CIVIS",
IF(COUNTIF(CONTIGENCIA!B:B,A28)&gt;0,"CONTINGENCIA",IF(COUNTIF(ESPECIAIS!B:B,A28)&gt;0,"ESPECIAIS",""))))</f>
        <v>CIVIS</v>
      </c>
    </row>
    <row r="29" spans="1:6" x14ac:dyDescent="0.25">
      <c r="A29" s="3" t="s">
        <v>21</v>
      </c>
      <c r="B29" s="81" t="str">
        <f t="shared" ca="1" si="0"/>
        <v>JAQUELINE PASTÓRIO</v>
      </c>
      <c r="C29" s="81" t="str">
        <f t="shared" ca="1" si="1"/>
        <v>SUL</v>
      </c>
      <c r="D29" s="82"/>
      <c r="E2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29" s="82" t="str">
        <f>UPPER(IF(SUM(COUNTIF(BAIXADA!B:B,A29),COUNTIF(NORTE!B:B,A29),COUNTIF(SUL!B:B,A29))&gt;0,"CIVIS",
IF(COUNTIF(CONTIGENCIA!B:B,A29)&gt;0,"CONTINGENCIA",IF(COUNTIF(ESPECIAIS!B:B,A29)&gt;0,"ESPECIAIS",""))))</f>
        <v>CIVIS</v>
      </c>
    </row>
    <row r="30" spans="1:6" x14ac:dyDescent="0.25">
      <c r="A30" s="3" t="s">
        <v>170</v>
      </c>
      <c r="B30" s="81" t="str">
        <f t="shared" ca="1" si="0"/>
        <v>GISELLE G. FONSECA</v>
      </c>
      <c r="C30" s="81" t="str">
        <f t="shared" ca="1" si="1"/>
        <v>BAIXADA</v>
      </c>
      <c r="D30" s="82"/>
      <c r="E3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30" s="82" t="str">
        <f>UPPER(IF(SUM(COUNTIF(BAIXADA!B:B,A30),COUNTIF(NORTE!B:B,A30),COUNTIF(SUL!B:B,A30))&gt;0,"CIVIS",
IF(COUNTIF(CONTIGENCIA!B:B,A30)&gt;0,"CONTINGENCIA",IF(COUNTIF(ESPECIAIS!B:B,A30)&gt;0,"ESPECIAIS",""))))</f>
        <v>CIVIS</v>
      </c>
    </row>
    <row r="31" spans="1:6" x14ac:dyDescent="0.25">
      <c r="A31" s="3" t="s">
        <v>51</v>
      </c>
      <c r="B31" s="81" t="str">
        <f t="shared" ca="1" si="0"/>
        <v>GISELLE G. FONSECA</v>
      </c>
      <c r="C31" s="81" t="str">
        <f t="shared" ca="1" si="1"/>
        <v>BAIXADA</v>
      </c>
      <c r="D31" s="82"/>
      <c r="E3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31" s="82" t="str">
        <f>UPPER(IF(SUM(COUNTIF(BAIXADA!B:B,A31),COUNTIF(NORTE!B:B,A31),COUNTIF(SUL!B:B,A31))&gt;0,"CIVIS",
IF(COUNTIF(CONTIGENCIA!B:B,A31)&gt;0,"CONTINGENCIA",IF(COUNTIF(ESPECIAIS!B:B,A31)&gt;0,"ESPECIAIS",""))))</f>
        <v>CIVIS</v>
      </c>
    </row>
    <row r="32" spans="1:6" x14ac:dyDescent="0.25">
      <c r="A32" s="3" t="s">
        <v>240</v>
      </c>
      <c r="B32" s="81" t="str">
        <f t="shared" ca="1" si="0"/>
        <v>IGOR CARNEIRO</v>
      </c>
      <c r="C32" s="81" t="str">
        <f t="shared" ca="1" si="1"/>
        <v>ESPECIAIS</v>
      </c>
      <c r="D32" s="82"/>
      <c r="E3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32" s="82" t="str">
        <f>UPPER(IF(SUM(COUNTIF(BAIXADA!B:B,A32),COUNTIF(NORTE!B:B,A32),COUNTIF(SUL!B:B,A32))&gt;0,"CIVIS",
IF(COUNTIF(CONTIGENCIA!B:B,A32)&gt;0,"CONTINGENCIA",IF(COUNTIF(ESPECIAIS!B:B,A32)&gt;0,"ESPECIAIS",""))))</f>
        <v>ESPECIAIS</v>
      </c>
    </row>
    <row r="33" spans="1:6" x14ac:dyDescent="0.25">
      <c r="A33" s="3" t="s">
        <v>233</v>
      </c>
      <c r="B33" s="81" t="str">
        <f t="shared" ca="1" si="0"/>
        <v>ERICK HYLARIO</v>
      </c>
      <c r="C33" s="81" t="str">
        <f t="shared" ca="1" si="1"/>
        <v>ESPECIAIS</v>
      </c>
      <c r="D33" s="82"/>
      <c r="E3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33" s="82" t="str">
        <f>UPPER(IF(SUM(COUNTIF(BAIXADA!B:B,A33),COUNTIF(NORTE!B:B,A33),COUNTIF(SUL!B:B,A33))&gt;0,"CIVIS",
IF(COUNTIF(CONTIGENCIA!B:B,A33)&gt;0,"CONTINGENCIA",IF(COUNTIF(ESPECIAIS!B:B,A33)&gt;0,"ESPECIAIS",""))))</f>
        <v>ESPECIAIS</v>
      </c>
    </row>
    <row r="34" spans="1:6" x14ac:dyDescent="0.25">
      <c r="A34" s="3" t="s">
        <v>269</v>
      </c>
      <c r="B34" s="81" t="str">
        <f t="shared" ref="B34:B65" ca="1" si="2">UPPER(TRIM(UPPER(IFERROR(VLOOKUP(A34,INDIRECT("'BAIXADA'!$B$3:$I$51"),3,FALSE),
IFERROR(VLOOKUP(A34,INDIRECT("'NORTE'!$B$3:$I$21"),3,FALSE),
IFERROR(VLOOKUP(A34,INDIRECT("'SUL'!$B$3:$I$31"),3,FALSE),
IFERROR(VLOOKUP(A34,INDIRECT("'CONTIGENCIA'!$B$3:$I$22"),3,FALSE),
IFERROR(VLOOKUP(A34,INDIRECT("'ESPECIAIS'!$B$3:$I$27"),3,FALSE),""))))))))</f>
        <v>ERICK HYLARIO</v>
      </c>
      <c r="C34" s="81" t="str">
        <f t="shared" ref="C34:C65" ca="1" si="3">IF(OR(B34="CARLOS FERNANDES", B34="GISELLE G. FONSECA"), "BAIXADA",
 IF(OR(B34="ISADORA ROSALINO", B34="JEHNIFFER PIRES"), "NORTE",
 IF(OR(B34="LUIZ FILHO", B34="MARCUS", B34="JAQUELINE PASTÓRIO"), "SUL",
 IF(OR(B34="AIMAR FILHO", B34="ERICK HYLARIO", B34="IGOR CARNEIRO", B34="CESAR", B34="DANRLEI"), "ESPECIAIS",""))))</f>
        <v>ESPECIAIS</v>
      </c>
      <c r="D34" s="82"/>
      <c r="E3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34" s="82" t="str">
        <f>UPPER(IF(SUM(COUNTIF(BAIXADA!B:B,A34),COUNTIF(NORTE!B:B,A34),COUNTIF(SUL!B:B,A34))&gt;0,"CIVIS",
IF(COUNTIF(CONTIGENCIA!B:B,A34)&gt;0,"CONTINGENCIA",IF(COUNTIF(ESPECIAIS!B:B,A34)&gt;0,"ESPECIAIS",""))))</f>
        <v>ESPECIAIS</v>
      </c>
    </row>
    <row r="35" spans="1:6" x14ac:dyDescent="0.25">
      <c r="A35" s="3" t="s">
        <v>171</v>
      </c>
      <c r="B35" s="81" t="str">
        <f t="shared" ca="1" si="2"/>
        <v>GISELLE G. FONSECA</v>
      </c>
      <c r="C35" s="81" t="str">
        <f t="shared" ca="1" si="3"/>
        <v>BAIXADA</v>
      </c>
      <c r="D35" s="82"/>
      <c r="E3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35" s="82" t="str">
        <f>UPPER(IF(SUM(COUNTIF(BAIXADA!B:B,A35),COUNTIF(NORTE!B:B,A35),COUNTIF(SUL!B:B,A35))&gt;0,"CIVIS",
IF(COUNTIF(CONTIGENCIA!B:B,A35)&gt;0,"CONTINGENCIA",IF(COUNTIF(ESPECIAIS!B:B,A35)&gt;0,"ESPECIAIS",""))))</f>
        <v>CIVIS</v>
      </c>
    </row>
    <row r="36" spans="1:6" x14ac:dyDescent="0.25">
      <c r="A36" s="3" t="s">
        <v>274</v>
      </c>
      <c r="B36" s="81" t="str">
        <f t="shared" ca="1" si="2"/>
        <v>ERICK HYLARIO</v>
      </c>
      <c r="C36" s="81" t="str">
        <f t="shared" ca="1" si="3"/>
        <v>ESPECIAIS</v>
      </c>
      <c r="D36" s="82"/>
      <c r="E3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36" s="82" t="str">
        <f>UPPER(IF(SUM(COUNTIF(BAIXADA!B:B,A36),COUNTIF(NORTE!B:B,A36),COUNTIF(SUL!B:B,A36))&gt;0,"CIVIS",
IF(COUNTIF(CONTIGENCIA!B:B,A36)&gt;0,"CONTINGENCIA",IF(COUNTIF(ESPECIAIS!B:B,A36)&gt;0,"ESPECIAIS",""))))</f>
        <v>ESPECIAIS</v>
      </c>
    </row>
    <row r="37" spans="1:6" x14ac:dyDescent="0.25">
      <c r="A37" s="3" t="s">
        <v>221</v>
      </c>
      <c r="B37" s="81" t="str">
        <f t="shared" ca="1" si="2"/>
        <v>JAQUELINE PASTÓRIO</v>
      </c>
      <c r="C37" s="81" t="str">
        <f t="shared" ca="1" si="3"/>
        <v>SUL</v>
      </c>
      <c r="D37" s="82"/>
      <c r="E3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37" s="82" t="str">
        <f>UPPER(IF(SUM(COUNTIF(BAIXADA!B:B,A37),COUNTIF(NORTE!B:B,A37),COUNTIF(SUL!B:B,A37))&gt;0,"CIVIS",
IF(COUNTIF(CONTIGENCIA!B:B,A37)&gt;0,"CONTINGENCIA",IF(COUNTIF(ESPECIAIS!B:B,A37)&gt;0,"ESPECIAIS",""))))</f>
        <v>CIVIS</v>
      </c>
    </row>
    <row r="38" spans="1:6" x14ac:dyDescent="0.25">
      <c r="A38" s="3" t="s">
        <v>265</v>
      </c>
      <c r="B38" s="81" t="str">
        <f t="shared" ca="1" si="2"/>
        <v>JAQUELINE PASTÓRIO</v>
      </c>
      <c r="C38" s="81" t="str">
        <f t="shared" ca="1" si="3"/>
        <v>SUL</v>
      </c>
      <c r="D38" s="82"/>
      <c r="E3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38" s="82" t="str">
        <f>UPPER(IF(SUM(COUNTIF(BAIXADA!B:B,A38),COUNTIF(NORTE!B:B,A38),COUNTIF(SUL!B:B,A38))&gt;0,"CIVIS",
IF(COUNTIF(CONTIGENCIA!B:B,A38)&gt;0,"CONTINGENCIA",IF(COUNTIF(ESPECIAIS!B:B,A38)&gt;0,"ESPECIAIS",""))))</f>
        <v>CIVIS</v>
      </c>
    </row>
    <row r="39" spans="1:6" x14ac:dyDescent="0.25">
      <c r="A39" s="3" t="s">
        <v>174</v>
      </c>
      <c r="B39" s="81" t="str">
        <f t="shared" ca="1" si="2"/>
        <v>CARLOS FERNANDES</v>
      </c>
      <c r="C39" s="81" t="str">
        <f t="shared" ca="1" si="3"/>
        <v>BAIXADA</v>
      </c>
      <c r="D39" s="82"/>
      <c r="E3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39" s="82" t="str">
        <f>UPPER(IF(SUM(COUNTIF(BAIXADA!B:B,A39),COUNTIF(NORTE!B:B,A39),COUNTIF(SUL!B:B,A39))&gt;0,"CIVIS",
IF(COUNTIF(CONTIGENCIA!B:B,A39)&gt;0,"CONTINGENCIA",IF(COUNTIF(ESPECIAIS!B:B,A39)&gt;0,"ESPECIAIS",""))))</f>
        <v>CIVIS</v>
      </c>
    </row>
    <row r="40" spans="1:6" x14ac:dyDescent="0.25">
      <c r="A40" s="3" t="s">
        <v>96</v>
      </c>
      <c r="B40" s="81" t="str">
        <f t="shared" ca="1" si="2"/>
        <v>GISELLE G. FONSECA</v>
      </c>
      <c r="C40" s="81" t="str">
        <f t="shared" ca="1" si="3"/>
        <v>BAIXADA</v>
      </c>
      <c r="D40" s="82"/>
      <c r="E4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40" s="82" t="str">
        <f>UPPER(IF(SUM(COUNTIF(BAIXADA!B:B,A40),COUNTIF(NORTE!B:B,A40),COUNTIF(SUL!B:B,A40))&gt;0,"CIVIS",
IF(COUNTIF(CONTIGENCIA!B:B,A40)&gt;0,"CONTINGENCIA",IF(COUNTIF(ESPECIAIS!B:B,A40)&gt;0,"ESPECIAIS",""))))</f>
        <v>CIVIS</v>
      </c>
    </row>
    <row r="41" spans="1:6" x14ac:dyDescent="0.25">
      <c r="A41" s="3" t="s">
        <v>275</v>
      </c>
      <c r="B41" s="81" t="str">
        <f t="shared" ca="1" si="2"/>
        <v>CARLOS FERNANDES</v>
      </c>
      <c r="C41" s="81" t="str">
        <f t="shared" ca="1" si="3"/>
        <v>BAIXADA</v>
      </c>
      <c r="D41" s="82"/>
      <c r="E4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41" s="82" t="str">
        <f>UPPER(IF(SUM(COUNTIF(BAIXADA!B:B,A41),COUNTIF(NORTE!B:B,A41),COUNTIF(SUL!B:B,A41))&gt;0,"CIVIS",
IF(COUNTIF(CONTIGENCIA!B:B,A41)&gt;0,"CONTINGENCIA",IF(COUNTIF(ESPECIAIS!B:B,A41)&gt;0,"ESPECIAIS",""))))</f>
        <v>CONTINGENCIA</v>
      </c>
    </row>
    <row r="42" spans="1:6" x14ac:dyDescent="0.25">
      <c r="A42" s="3" t="s">
        <v>266</v>
      </c>
      <c r="B42" s="81" t="str">
        <f t="shared" ca="1" si="2"/>
        <v>GISELLE G. FONSECA</v>
      </c>
      <c r="C42" s="81" t="str">
        <f t="shared" ca="1" si="3"/>
        <v>BAIXADA</v>
      </c>
      <c r="D42" s="82"/>
      <c r="E4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42" s="82" t="str">
        <f>UPPER(IF(SUM(COUNTIF(BAIXADA!B:B,A42),COUNTIF(NORTE!B:B,A42),COUNTIF(SUL!B:B,A42))&gt;0,"CIVIS",
IF(COUNTIF(CONTIGENCIA!B:B,A42)&gt;0,"CONTINGENCIA",IF(COUNTIF(ESPECIAIS!B:B,A42)&gt;0,"ESPECIAIS",""))))</f>
        <v>CONTINGENCIA</v>
      </c>
    </row>
    <row r="43" spans="1:6" x14ac:dyDescent="0.25">
      <c r="A43" s="3" t="s">
        <v>245</v>
      </c>
      <c r="B43" s="81" t="str">
        <f t="shared" ca="1" si="2"/>
        <v>GISELLE G. FONSECA</v>
      </c>
      <c r="C43" s="81" t="str">
        <f t="shared" ca="1" si="3"/>
        <v>BAIXADA</v>
      </c>
      <c r="D43" s="82"/>
      <c r="E4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43" s="82" t="str">
        <f>UPPER(IF(SUM(COUNTIF(BAIXADA!B:B,A43),COUNTIF(NORTE!B:B,A43),COUNTIF(SUL!B:B,A43))&gt;0,"CIVIS",
IF(COUNTIF(CONTIGENCIA!B:B,A43)&gt;0,"CONTINGENCIA",IF(COUNTIF(ESPECIAIS!B:B,A43)&gt;0,"ESPECIAIS",""))))</f>
        <v>CONTINGENCIA</v>
      </c>
    </row>
    <row r="44" spans="1:6" x14ac:dyDescent="0.25">
      <c r="A44" s="3" t="s">
        <v>277</v>
      </c>
      <c r="B44" s="81" t="str">
        <f t="shared" ca="1" si="2"/>
        <v>GISELLE G. FONSECA</v>
      </c>
      <c r="C44" s="81" t="str">
        <f t="shared" ca="1" si="3"/>
        <v>BAIXADA</v>
      </c>
      <c r="D44" s="82"/>
      <c r="E4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44" s="82" t="str">
        <f>UPPER(IF(SUM(COUNTIF(BAIXADA!B:B,A44),COUNTIF(NORTE!B:B,A44),COUNTIF(SUL!B:B,A44))&gt;0,"CIVIS",
IF(COUNTIF(CONTIGENCIA!B:B,A44)&gt;0,"CONTINGENCIA",IF(COUNTIF(ESPECIAIS!B:B,A44)&gt;0,"ESPECIAIS",""))))</f>
        <v>CIVIS</v>
      </c>
    </row>
    <row r="45" spans="1:6" x14ac:dyDescent="0.25">
      <c r="A45" s="3" t="s">
        <v>261</v>
      </c>
      <c r="B45" s="81" t="str">
        <f t="shared" ca="1" si="2"/>
        <v>CARLOS FERNANDES</v>
      </c>
      <c r="C45" s="81" t="str">
        <f t="shared" ca="1" si="3"/>
        <v>BAIXADA</v>
      </c>
      <c r="D45" s="82"/>
      <c r="E4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45" s="82" t="str">
        <f>UPPER(IF(SUM(COUNTIF(BAIXADA!B:B,A45),COUNTIF(NORTE!B:B,A45),COUNTIF(SUL!B:B,A45))&gt;0,"CIVIS",
IF(COUNTIF(CONTIGENCIA!B:B,A45)&gt;0,"CONTINGENCIA",IF(COUNTIF(ESPECIAIS!B:B,A45)&gt;0,"ESPECIAIS",""))))</f>
        <v>CIVIS</v>
      </c>
    </row>
    <row r="46" spans="1:6" x14ac:dyDescent="0.25">
      <c r="A46" s="3" t="s">
        <v>211</v>
      </c>
      <c r="B46" s="81" t="str">
        <f t="shared" ca="1" si="2"/>
        <v>GISELLE G. FONSECA</v>
      </c>
      <c r="C46" s="81" t="str">
        <f t="shared" ca="1" si="3"/>
        <v>BAIXADA</v>
      </c>
      <c r="D46" s="82"/>
      <c r="E4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46" s="82" t="str">
        <f>UPPER(IF(SUM(COUNTIF(BAIXADA!B:B,A46),COUNTIF(NORTE!B:B,A46),COUNTIF(SUL!B:B,A46))&gt;0,"CIVIS",
IF(COUNTIF(CONTIGENCIA!B:B,A46)&gt;0,"CONTINGENCIA",IF(COUNTIF(ESPECIAIS!B:B,A46)&gt;0,"ESPECIAIS",""))))</f>
        <v>CIVIS</v>
      </c>
    </row>
    <row r="47" spans="1:6" x14ac:dyDescent="0.25">
      <c r="A47" s="3" t="s">
        <v>223</v>
      </c>
      <c r="B47" s="81" t="str">
        <f t="shared" ca="1" si="2"/>
        <v>JAQUELINE PASTÓRIO</v>
      </c>
      <c r="C47" s="81" t="str">
        <f t="shared" ca="1" si="3"/>
        <v>SUL</v>
      </c>
      <c r="D47" s="82"/>
      <c r="E4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47" s="82" t="str">
        <f>UPPER(IF(SUM(COUNTIF(BAIXADA!B:B,A47),COUNTIF(NORTE!B:B,A47),COUNTIF(SUL!B:B,A47))&gt;0,"CIVIS",
IF(COUNTIF(CONTIGENCIA!B:B,A47)&gt;0,"CONTINGENCIA",IF(COUNTIF(ESPECIAIS!B:B,A47)&gt;0,"ESPECIAIS",""))))</f>
        <v>CIVIS</v>
      </c>
    </row>
    <row r="48" spans="1:6" x14ac:dyDescent="0.25">
      <c r="A48" s="3" t="s">
        <v>155</v>
      </c>
      <c r="B48" s="81" t="str">
        <f t="shared" ca="1" si="2"/>
        <v>CARLOS FERNANDES</v>
      </c>
      <c r="C48" s="81" t="str">
        <f t="shared" ca="1" si="3"/>
        <v>BAIXADA</v>
      </c>
      <c r="D48" s="82"/>
      <c r="E4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48" s="82" t="str">
        <f>UPPER(IF(SUM(COUNTIF(BAIXADA!B:B,A48),COUNTIF(NORTE!B:B,A48),COUNTIF(SUL!B:B,A48))&gt;0,"CIVIS",
IF(COUNTIF(CONTIGENCIA!B:B,A48)&gt;0,"CONTINGENCIA",IF(COUNTIF(ESPECIAIS!B:B,A48)&gt;0,"ESPECIAIS",""))))</f>
        <v>CIVIS</v>
      </c>
    </row>
    <row r="49" spans="1:6" x14ac:dyDescent="0.25">
      <c r="A49" s="3" t="s">
        <v>153</v>
      </c>
      <c r="B49" s="81" t="str">
        <f t="shared" ca="1" si="2"/>
        <v>JEHNIFFER PIRES</v>
      </c>
      <c r="C49" s="81" t="str">
        <f t="shared" ca="1" si="3"/>
        <v>NORTE</v>
      </c>
      <c r="D49" s="82"/>
      <c r="E4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49" s="82" t="str">
        <f>UPPER(IF(SUM(COUNTIF(BAIXADA!B:B,A49),COUNTIF(NORTE!B:B,A49),COUNTIF(SUL!B:B,A49))&gt;0,"CIVIS",
IF(COUNTIF(CONTIGENCIA!B:B,A49)&gt;0,"CONTINGENCIA",IF(COUNTIF(ESPECIAIS!B:B,A49)&gt;0,"ESPECIAIS",""))))</f>
        <v>CIVIS</v>
      </c>
    </row>
    <row r="50" spans="1:6" x14ac:dyDescent="0.25">
      <c r="A50" s="3" t="s">
        <v>104</v>
      </c>
      <c r="B50" s="81" t="str">
        <f t="shared" ca="1" si="2"/>
        <v>CARLOS FERNANDES</v>
      </c>
      <c r="C50" s="81" t="str">
        <f t="shared" ca="1" si="3"/>
        <v>BAIXADA</v>
      </c>
      <c r="D50" s="82"/>
      <c r="E5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50" s="82" t="str">
        <f>UPPER(IF(SUM(COUNTIF(BAIXADA!B:B,A50),COUNTIF(NORTE!B:B,A50),COUNTIF(SUL!B:B,A50))&gt;0,"CIVIS",
IF(COUNTIF(CONTIGENCIA!B:B,A50)&gt;0,"CONTINGENCIA",IF(COUNTIF(ESPECIAIS!B:B,A50)&gt;0,"ESPECIAIS",""))))</f>
        <v>CIVIS</v>
      </c>
    </row>
    <row r="51" spans="1:6" x14ac:dyDescent="0.25">
      <c r="A51" s="3" t="s">
        <v>154</v>
      </c>
      <c r="B51" s="81" t="str">
        <f t="shared" ca="1" si="2"/>
        <v>JEHNIFFER PIRES</v>
      </c>
      <c r="C51" s="81" t="str">
        <f t="shared" ca="1" si="3"/>
        <v>NORTE</v>
      </c>
      <c r="D51" s="82"/>
      <c r="E5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51" s="82" t="str">
        <f>UPPER(IF(SUM(COUNTIF(BAIXADA!B:B,A51),COUNTIF(NORTE!B:B,A51),COUNTIF(SUL!B:B,A51))&gt;0,"CIVIS",
IF(COUNTIF(CONTIGENCIA!B:B,A51)&gt;0,"CONTINGENCIA",IF(COUNTIF(ESPECIAIS!B:B,A51)&gt;0,"ESPECIAIS",""))))</f>
        <v>CIVIS</v>
      </c>
    </row>
    <row r="52" spans="1:6" x14ac:dyDescent="0.25">
      <c r="A52" s="3" t="s">
        <v>120</v>
      </c>
      <c r="B52" s="81" t="str">
        <f t="shared" ca="1" si="2"/>
        <v>JEHNIFFER PIRES</v>
      </c>
      <c r="C52" s="81" t="str">
        <f t="shared" ca="1" si="3"/>
        <v>NORTE</v>
      </c>
      <c r="D52" s="82"/>
      <c r="E5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52" s="82" t="str">
        <f>UPPER(IF(SUM(COUNTIF(BAIXADA!B:B,A52),COUNTIF(NORTE!B:B,A52),COUNTIF(SUL!B:B,A52))&gt;0,"CIVIS",
IF(COUNTIF(CONTIGENCIA!B:B,A52)&gt;0,"CONTINGENCIA",IF(COUNTIF(ESPECIAIS!B:B,A52)&gt;0,"ESPECIAIS",""))))</f>
        <v>CIVIS</v>
      </c>
    </row>
    <row r="53" spans="1:6" x14ac:dyDescent="0.25">
      <c r="A53" s="3" t="s">
        <v>164</v>
      </c>
      <c r="B53" s="81" t="str">
        <f t="shared" ca="1" si="2"/>
        <v>ISADORA ROSALINO</v>
      </c>
      <c r="C53" s="81" t="str">
        <f t="shared" ca="1" si="3"/>
        <v>NORTE</v>
      </c>
      <c r="D53" s="82"/>
      <c r="E5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PROVISORIO</v>
      </c>
      <c r="F53" s="82" t="str">
        <f>UPPER(IF(SUM(COUNTIF(BAIXADA!B:B,A53),COUNTIF(NORTE!B:B,A53),COUNTIF(SUL!B:B,A53))&gt;0,"CIVIS",
IF(COUNTIF(CONTIGENCIA!B:B,A53)&gt;0,"CONTINGENCIA",IF(COUNTIF(ESPECIAIS!B:B,A53)&gt;0,"ESPECIAIS",""))))</f>
        <v>CIVIS</v>
      </c>
    </row>
    <row r="54" spans="1:6" x14ac:dyDescent="0.25">
      <c r="A54" s="3" t="s">
        <v>151</v>
      </c>
      <c r="B54" s="81" t="str">
        <f t="shared" ca="1" si="2"/>
        <v>ISADORA ROSALINO</v>
      </c>
      <c r="C54" s="81" t="str">
        <f t="shared" ca="1" si="3"/>
        <v>NORTE</v>
      </c>
      <c r="D54" s="82"/>
      <c r="E5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54" s="82" t="str">
        <f>UPPER(IF(SUM(COUNTIF(BAIXADA!B:B,A54),COUNTIF(NORTE!B:B,A54),COUNTIF(SUL!B:B,A54))&gt;0,"CIVIS",
IF(COUNTIF(CONTIGENCIA!B:B,A54)&gt;0,"CONTINGENCIA",IF(COUNTIF(ESPECIAIS!B:B,A54)&gt;0,"ESPECIAIS",""))))</f>
        <v>CIVIS</v>
      </c>
    </row>
    <row r="55" spans="1:6" x14ac:dyDescent="0.25">
      <c r="A55" s="3" t="s">
        <v>128</v>
      </c>
      <c r="B55" s="81" t="str">
        <f t="shared" ca="1" si="2"/>
        <v>ISADORA ROSALINO</v>
      </c>
      <c r="C55" s="81" t="str">
        <f t="shared" ca="1" si="3"/>
        <v>NORTE</v>
      </c>
      <c r="D55" s="82"/>
      <c r="E5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55" s="82" t="str">
        <f>UPPER(IF(SUM(COUNTIF(BAIXADA!B:B,A55),COUNTIF(NORTE!B:B,A55),COUNTIF(SUL!B:B,A55))&gt;0,"CIVIS",
IF(COUNTIF(CONTIGENCIA!B:B,A55)&gt;0,"CONTINGENCIA",IF(COUNTIF(ESPECIAIS!B:B,A55)&gt;0,"ESPECIAIS",""))))</f>
        <v>CIVIS</v>
      </c>
    </row>
    <row r="56" spans="1:6" x14ac:dyDescent="0.25">
      <c r="A56" s="3" t="s">
        <v>259</v>
      </c>
      <c r="B56" s="81" t="str">
        <f t="shared" ca="1" si="2"/>
        <v>GISELLE G. FONSECA</v>
      </c>
      <c r="C56" s="81" t="str">
        <f t="shared" ca="1" si="3"/>
        <v>BAIXADA</v>
      </c>
      <c r="D56" s="82"/>
      <c r="E5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56" s="82" t="str">
        <f>UPPER(IF(SUM(COUNTIF(BAIXADA!B:B,A56),COUNTIF(NORTE!B:B,A56),COUNTIF(SUL!B:B,A56))&gt;0,"CIVIS",
IF(COUNTIF(CONTIGENCIA!B:B,A56)&gt;0,"CONTINGENCIA",IF(COUNTIF(ESPECIAIS!B:B,A56)&gt;0,"ESPECIAIS",""))))</f>
        <v>CONTINGENCIA</v>
      </c>
    </row>
    <row r="57" spans="1:6" x14ac:dyDescent="0.25">
      <c r="A57" s="3" t="s">
        <v>81</v>
      </c>
      <c r="B57" s="81" t="str">
        <f t="shared" ca="1" si="2"/>
        <v>GISELLE G. FONSECA</v>
      </c>
      <c r="C57" s="81" t="str">
        <f t="shared" ca="1" si="3"/>
        <v>BAIXADA</v>
      </c>
      <c r="D57" s="82"/>
      <c r="E5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57" s="82" t="str">
        <f>UPPER(IF(SUM(COUNTIF(BAIXADA!B:B,A57),COUNTIF(NORTE!B:B,A57),COUNTIF(SUL!B:B,A57))&gt;0,"CIVIS",
IF(COUNTIF(CONTIGENCIA!B:B,A57)&gt;0,"CONTINGENCIA",IF(COUNTIF(ESPECIAIS!B:B,A57)&gt;0,"ESPECIAIS",""))))</f>
        <v>CIVIS</v>
      </c>
    </row>
    <row r="58" spans="1:6" x14ac:dyDescent="0.25">
      <c r="A58" s="3" t="s">
        <v>161</v>
      </c>
      <c r="B58" s="81" t="str">
        <f t="shared" ca="1" si="2"/>
        <v>CARLOS FERNANDES</v>
      </c>
      <c r="C58" s="81" t="str">
        <f t="shared" ca="1" si="3"/>
        <v>BAIXADA</v>
      </c>
      <c r="D58" s="82"/>
      <c r="E5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58" s="82" t="str">
        <f>UPPER(IF(SUM(COUNTIF(BAIXADA!B:B,A58),COUNTIF(NORTE!B:B,A58),COUNTIF(SUL!B:B,A58))&gt;0,"CIVIS",
IF(COUNTIF(CONTIGENCIA!B:B,A58)&gt;0,"CONTINGENCIA",IF(COUNTIF(ESPECIAIS!B:B,A58)&gt;0,"ESPECIAIS",""))))</f>
        <v>CIVIS</v>
      </c>
    </row>
    <row r="59" spans="1:6" x14ac:dyDescent="0.25">
      <c r="A59" s="3" t="s">
        <v>83</v>
      </c>
      <c r="B59" s="81" t="str">
        <f t="shared" ca="1" si="2"/>
        <v>GISELLE G. FONSECA</v>
      </c>
      <c r="C59" s="81" t="str">
        <f t="shared" ca="1" si="3"/>
        <v>BAIXADA</v>
      </c>
      <c r="D59" s="82"/>
      <c r="E5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59" s="82" t="str">
        <f>UPPER(IF(SUM(COUNTIF(BAIXADA!B:B,A59),COUNTIF(NORTE!B:B,A59),COUNTIF(SUL!B:B,A59))&gt;0,"CIVIS",
IF(COUNTIF(CONTIGENCIA!B:B,A59)&gt;0,"CONTINGENCIA",IF(COUNTIF(ESPECIAIS!B:B,A59)&gt;0,"ESPECIAIS",""))))</f>
        <v>CIVIS</v>
      </c>
    </row>
    <row r="60" spans="1:6" x14ac:dyDescent="0.25">
      <c r="A60" s="3" t="s">
        <v>30</v>
      </c>
      <c r="B60" s="81" t="str">
        <f t="shared" ca="1" si="2"/>
        <v>GISELLE G. FONSECA</v>
      </c>
      <c r="C60" s="81" t="str">
        <f t="shared" ca="1" si="3"/>
        <v>BAIXADA</v>
      </c>
      <c r="D60" s="82"/>
      <c r="E6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60" s="82" t="str">
        <f>UPPER(IF(SUM(COUNTIF(BAIXADA!B:B,A60),COUNTIF(NORTE!B:B,A60),COUNTIF(SUL!B:B,A60))&gt;0,"CIVIS",
IF(COUNTIF(CONTIGENCIA!B:B,A60)&gt;0,"CONTINGENCIA",IF(COUNTIF(ESPECIAIS!B:B,A60)&gt;0,"ESPECIAIS",""))))</f>
        <v>CIVIS</v>
      </c>
    </row>
    <row r="61" spans="1:6" x14ac:dyDescent="0.25">
      <c r="A61" s="3" t="s">
        <v>136</v>
      </c>
      <c r="B61" s="81" t="str">
        <f t="shared" ca="1" si="2"/>
        <v>JAQUELINE PASTÓRIO</v>
      </c>
      <c r="C61" s="81" t="str">
        <f t="shared" ca="1" si="3"/>
        <v>SUL</v>
      </c>
      <c r="D61" s="82"/>
      <c r="E6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61" s="82" t="str">
        <f>UPPER(IF(SUM(COUNTIF(BAIXADA!B:B,A61),COUNTIF(NORTE!B:B,A61),COUNTIF(SUL!B:B,A61))&gt;0,"CIVIS",
IF(COUNTIF(CONTIGENCIA!B:B,A61)&gt;0,"CONTINGENCIA",IF(COUNTIF(ESPECIAIS!B:B,A61)&gt;0,"ESPECIAIS",""))))</f>
        <v>CIVIS</v>
      </c>
    </row>
    <row r="62" spans="1:6" x14ac:dyDescent="0.25">
      <c r="A62" s="3" t="s">
        <v>162</v>
      </c>
      <c r="B62" s="81" t="str">
        <f t="shared" ca="1" si="2"/>
        <v>GISELLE G. FONSECA</v>
      </c>
      <c r="C62" s="81" t="str">
        <f t="shared" ca="1" si="3"/>
        <v>BAIXADA</v>
      </c>
      <c r="D62" s="82"/>
      <c r="E6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PROVISORIO</v>
      </c>
      <c r="F62" s="82" t="str">
        <f>UPPER(IF(SUM(COUNTIF(BAIXADA!B:B,A62),COUNTIF(NORTE!B:B,A62),COUNTIF(SUL!B:B,A62))&gt;0,"CIVIS",
IF(COUNTIF(CONTIGENCIA!B:B,A62)&gt;0,"CONTINGENCIA",IF(COUNTIF(ESPECIAIS!B:B,A62)&gt;0,"ESPECIAIS",""))))</f>
        <v>CIVIS</v>
      </c>
    </row>
    <row r="63" spans="1:6" x14ac:dyDescent="0.25">
      <c r="A63" s="3" t="s">
        <v>121</v>
      </c>
      <c r="B63" s="81" t="str">
        <f t="shared" ca="1" si="2"/>
        <v>GISELLE G. FONSECA</v>
      </c>
      <c r="C63" s="81" t="str">
        <f t="shared" ca="1" si="3"/>
        <v>BAIXADA</v>
      </c>
      <c r="D63" s="82"/>
      <c r="E6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63" s="82" t="str">
        <f>UPPER(IF(SUM(COUNTIF(BAIXADA!B:B,A63),COUNTIF(NORTE!B:B,A63),COUNTIF(SUL!B:B,A63))&gt;0,"CIVIS",
IF(COUNTIF(CONTIGENCIA!B:B,A63)&gt;0,"CONTINGENCIA",IF(COUNTIF(ESPECIAIS!B:B,A63)&gt;0,"ESPECIAIS",""))))</f>
        <v>CIVIS</v>
      </c>
    </row>
    <row r="64" spans="1:6" x14ac:dyDescent="0.25">
      <c r="A64" s="3" t="s">
        <v>156</v>
      </c>
      <c r="B64" s="81" t="str">
        <f t="shared" ca="1" si="2"/>
        <v>ISADORA ROSALINO</v>
      </c>
      <c r="C64" s="81" t="str">
        <f t="shared" ca="1" si="3"/>
        <v>NORTE</v>
      </c>
      <c r="D64" s="82"/>
      <c r="E6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64" s="82" t="str">
        <f>UPPER(IF(SUM(COUNTIF(BAIXADA!B:B,A64),COUNTIF(NORTE!B:B,A64),COUNTIF(SUL!B:B,A64))&gt;0,"CIVIS",
IF(COUNTIF(CONTIGENCIA!B:B,A64)&gt;0,"CONTINGENCIA",IF(COUNTIF(ESPECIAIS!B:B,A64)&gt;0,"ESPECIAIS",""))))</f>
        <v>CIVIS</v>
      </c>
    </row>
    <row r="65" spans="1:6" x14ac:dyDescent="0.25">
      <c r="A65" s="3" t="s">
        <v>134</v>
      </c>
      <c r="B65" s="81" t="str">
        <f t="shared" ca="1" si="2"/>
        <v>JAQUELINE PASTÓRIO</v>
      </c>
      <c r="C65" s="81" t="str">
        <f t="shared" ca="1" si="3"/>
        <v>SUL</v>
      </c>
      <c r="D65" s="82"/>
      <c r="E6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65" s="82" t="str">
        <f>UPPER(IF(SUM(COUNTIF(BAIXADA!B:B,A65),COUNTIF(NORTE!B:B,A65),COUNTIF(SUL!B:B,A65))&gt;0,"CIVIS",
IF(COUNTIF(CONTIGENCIA!B:B,A65)&gt;0,"CONTINGENCIA",IF(COUNTIF(ESPECIAIS!B:B,A65)&gt;0,"ESPECIAIS",""))))</f>
        <v>CIVIS</v>
      </c>
    </row>
    <row r="66" spans="1:6" x14ac:dyDescent="0.25">
      <c r="A66" s="3" t="s">
        <v>157</v>
      </c>
      <c r="B66" s="81" t="str">
        <f t="shared" ref="B66:B97" ca="1" si="4">UPPER(TRIM(UPPER(IFERROR(VLOOKUP(A66,INDIRECT("'BAIXADA'!$B$3:$I$51"),3,FALSE),
IFERROR(VLOOKUP(A66,INDIRECT("'NORTE'!$B$3:$I$21"),3,FALSE),
IFERROR(VLOOKUP(A66,INDIRECT("'SUL'!$B$3:$I$31"),3,FALSE),
IFERROR(VLOOKUP(A66,INDIRECT("'CONTIGENCIA'!$B$3:$I$22"),3,FALSE),
IFERROR(VLOOKUP(A66,INDIRECT("'ESPECIAIS'!$B$3:$I$27"),3,FALSE),""))))))))</f>
        <v>JEHNIFFER PIRES</v>
      </c>
      <c r="C66" s="81" t="str">
        <f t="shared" ref="C66:C97" ca="1" si="5">IF(OR(B66="CARLOS FERNANDES", B66="GISELLE G. FONSECA"), "BAIXADA",
 IF(OR(B66="ISADORA ROSALINO", B66="JEHNIFFER PIRES"), "NORTE",
 IF(OR(B66="LUIZ FILHO", B66="MARCUS", B66="JAQUELINE PASTÓRIO"), "SUL",
 IF(OR(B66="AIMAR FILHO", B66="ERICK HYLARIO", B66="IGOR CARNEIRO", B66="CESAR", B66="DANRLEI"), "ESPECIAIS",""))))</f>
        <v>NORTE</v>
      </c>
      <c r="D66" s="82"/>
      <c r="E6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66" s="82" t="str">
        <f>UPPER(IF(SUM(COUNTIF(BAIXADA!B:B,A66),COUNTIF(NORTE!B:B,A66),COUNTIF(SUL!B:B,A66))&gt;0,"CIVIS",
IF(COUNTIF(CONTIGENCIA!B:B,A66)&gt;0,"CONTINGENCIA",IF(COUNTIF(ESPECIAIS!B:B,A66)&gt;0,"ESPECIAIS",""))))</f>
        <v>CIVIS</v>
      </c>
    </row>
    <row r="67" spans="1:6" x14ac:dyDescent="0.25">
      <c r="A67" s="3" t="s">
        <v>82</v>
      </c>
      <c r="B67" s="81" t="str">
        <f t="shared" ca="1" si="4"/>
        <v>GISELLE G. FONSECA</v>
      </c>
      <c r="C67" s="81" t="str">
        <f t="shared" ca="1" si="5"/>
        <v>BAIXADA</v>
      </c>
      <c r="D67" s="82"/>
      <c r="E6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67" s="82" t="str">
        <f>UPPER(IF(SUM(COUNTIF(BAIXADA!B:B,A67),COUNTIF(NORTE!B:B,A67),COUNTIF(SUL!B:B,A67))&gt;0,"CIVIS",
IF(COUNTIF(CONTIGENCIA!B:B,A67)&gt;0,"CONTINGENCIA",IF(COUNTIF(ESPECIAIS!B:B,A67)&gt;0,"ESPECIAIS",""))))</f>
        <v>CIVIS</v>
      </c>
    </row>
    <row r="68" spans="1:6" x14ac:dyDescent="0.25">
      <c r="A68" s="3" t="s">
        <v>8</v>
      </c>
      <c r="B68" s="81" t="str">
        <f t="shared" ca="1" si="4"/>
        <v>CARLOS FERNANDES</v>
      </c>
      <c r="C68" s="81" t="str">
        <f t="shared" ca="1" si="5"/>
        <v>BAIXADA</v>
      </c>
      <c r="D68" s="82"/>
      <c r="E6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68" s="82" t="str">
        <f>UPPER(IF(SUM(COUNTIF(BAIXADA!B:B,A68),COUNTIF(NORTE!B:B,A68),COUNTIF(SUL!B:B,A68))&gt;0,"CIVIS",
IF(COUNTIF(CONTIGENCIA!B:B,A68)&gt;0,"CONTINGENCIA",IF(COUNTIF(ESPECIAIS!B:B,A68)&gt;0,"ESPECIAIS",""))))</f>
        <v>CIVIS</v>
      </c>
    </row>
    <row r="69" spans="1:6" x14ac:dyDescent="0.25">
      <c r="A69" s="3" t="s">
        <v>16</v>
      </c>
      <c r="B69" s="81" t="str">
        <f t="shared" ca="1" si="4"/>
        <v>CARLOS FERNANDES</v>
      </c>
      <c r="C69" s="81" t="str">
        <f t="shared" ca="1" si="5"/>
        <v>BAIXADA</v>
      </c>
      <c r="D69" s="82"/>
      <c r="E6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69" s="82" t="str">
        <f>UPPER(IF(SUM(COUNTIF(BAIXADA!B:B,A69),COUNTIF(NORTE!B:B,A69),COUNTIF(SUL!B:B,A69))&gt;0,"CIVIS",
IF(COUNTIF(CONTIGENCIA!B:B,A69)&gt;0,"CONTINGENCIA",IF(COUNTIF(ESPECIAIS!B:B,A69)&gt;0,"ESPECIAIS",""))))</f>
        <v>CIVIS</v>
      </c>
    </row>
    <row r="70" spans="1:6" x14ac:dyDescent="0.25">
      <c r="A70" s="3" t="s">
        <v>17</v>
      </c>
      <c r="B70" s="81" t="str">
        <f t="shared" ca="1" si="4"/>
        <v>GISELLE G. FONSECA</v>
      </c>
      <c r="C70" s="81" t="str">
        <f t="shared" ca="1" si="5"/>
        <v>BAIXADA</v>
      </c>
      <c r="D70" s="82"/>
      <c r="E7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70" s="82" t="str">
        <f>UPPER(IF(SUM(COUNTIF(BAIXADA!B:B,A70),COUNTIF(NORTE!B:B,A70),COUNTIF(SUL!B:B,A70))&gt;0,"CIVIS",
IF(COUNTIF(CONTIGENCIA!B:B,A70)&gt;0,"CONTINGENCIA",IF(COUNTIF(ESPECIAIS!B:B,A70)&gt;0,"ESPECIAIS",""))))</f>
        <v>CIVIS</v>
      </c>
    </row>
    <row r="71" spans="1:6" x14ac:dyDescent="0.25">
      <c r="A71" s="3" t="s">
        <v>19</v>
      </c>
      <c r="B71" s="81" t="str">
        <f t="shared" ca="1" si="4"/>
        <v>LUIZ FILHO</v>
      </c>
      <c r="C71" s="81" t="str">
        <f t="shared" ca="1" si="5"/>
        <v>SUL</v>
      </c>
      <c r="D71" s="82"/>
      <c r="E7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71" s="82" t="str">
        <f>UPPER(IF(SUM(COUNTIF(BAIXADA!B:B,A71),COUNTIF(NORTE!B:B,A71),COUNTIF(SUL!B:B,A71))&gt;0,"CIVIS",
IF(COUNTIF(CONTIGENCIA!B:B,A71)&gt;0,"CONTINGENCIA",IF(COUNTIF(ESPECIAIS!B:B,A71)&gt;0,"ESPECIAIS",""))))</f>
        <v>CIVIS</v>
      </c>
    </row>
    <row r="72" spans="1:6" x14ac:dyDescent="0.25">
      <c r="A72" s="3" t="s">
        <v>135</v>
      </c>
      <c r="B72" s="81" t="str">
        <f t="shared" ca="1" si="4"/>
        <v>JAQUELINE PASTÓRIO</v>
      </c>
      <c r="C72" s="81" t="str">
        <f t="shared" ca="1" si="5"/>
        <v>SUL</v>
      </c>
      <c r="D72" s="82"/>
      <c r="E7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72" s="82" t="str">
        <f>UPPER(IF(SUM(COUNTIF(BAIXADA!B:B,A72),COUNTIF(NORTE!B:B,A72),COUNTIF(SUL!B:B,A72))&gt;0,"CIVIS",
IF(COUNTIF(CONTIGENCIA!B:B,A72)&gt;0,"CONTINGENCIA",IF(COUNTIF(ESPECIAIS!B:B,A72)&gt;0,"ESPECIAIS",""))))</f>
        <v>CIVIS</v>
      </c>
    </row>
    <row r="73" spans="1:6" x14ac:dyDescent="0.25">
      <c r="A73" s="3" t="s">
        <v>158</v>
      </c>
      <c r="B73" s="81" t="str">
        <f t="shared" ca="1" si="4"/>
        <v>ISADORA ROSALINO</v>
      </c>
      <c r="C73" s="81" t="str">
        <f t="shared" ca="1" si="5"/>
        <v>NORTE</v>
      </c>
      <c r="D73" s="82"/>
      <c r="E7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73" s="82" t="str">
        <f>UPPER(IF(SUM(COUNTIF(BAIXADA!B:B,A73),COUNTIF(NORTE!B:B,A73),COUNTIF(SUL!B:B,A73))&gt;0,"CIVIS",
IF(COUNTIF(CONTIGENCIA!B:B,A73)&gt;0,"CONTINGENCIA",IF(COUNTIF(ESPECIAIS!B:B,A73)&gt;0,"ESPECIAIS",""))))</f>
        <v>CIVIS</v>
      </c>
    </row>
    <row r="74" spans="1:6" x14ac:dyDescent="0.25">
      <c r="A74" s="3" t="s">
        <v>159</v>
      </c>
      <c r="B74" s="81" t="str">
        <f t="shared" ca="1" si="4"/>
        <v>ISADORA ROSALINO</v>
      </c>
      <c r="C74" s="81" t="str">
        <f t="shared" ca="1" si="5"/>
        <v>NORTE</v>
      </c>
      <c r="D74" s="82"/>
      <c r="E7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74" s="82" t="str">
        <f>UPPER(IF(SUM(COUNTIF(BAIXADA!B:B,A74),COUNTIF(NORTE!B:B,A74),COUNTIF(SUL!B:B,A74))&gt;0,"CIVIS",
IF(COUNTIF(CONTIGENCIA!B:B,A74)&gt;0,"CONTINGENCIA",IF(COUNTIF(ESPECIAIS!B:B,A74)&gt;0,"ESPECIAIS",""))))</f>
        <v>CIVIS</v>
      </c>
    </row>
    <row r="75" spans="1:6" x14ac:dyDescent="0.25">
      <c r="A75" s="3" t="s">
        <v>160</v>
      </c>
      <c r="B75" s="81" t="str">
        <f t="shared" ca="1" si="4"/>
        <v>ISADORA ROSALINO</v>
      </c>
      <c r="C75" s="81" t="str">
        <f t="shared" ca="1" si="5"/>
        <v>NORTE</v>
      </c>
      <c r="D75" s="82"/>
      <c r="E7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75" s="82" t="str">
        <f>UPPER(IF(SUM(COUNTIF(BAIXADA!B:B,A75),COUNTIF(NORTE!B:B,A75),COUNTIF(SUL!B:B,A75))&gt;0,"CIVIS",
IF(COUNTIF(CONTIGENCIA!B:B,A75)&gt;0,"CONTINGENCIA",IF(COUNTIF(ESPECIAIS!B:B,A75)&gt;0,"ESPECIAIS",""))))</f>
        <v>CIVIS</v>
      </c>
    </row>
    <row r="76" spans="1:6" x14ac:dyDescent="0.25">
      <c r="A76" s="3" t="s">
        <v>7</v>
      </c>
      <c r="B76" s="81" t="str">
        <f t="shared" ca="1" si="4"/>
        <v>LUIZ FILHO</v>
      </c>
      <c r="C76" s="81" t="str">
        <f t="shared" ca="1" si="5"/>
        <v>SUL</v>
      </c>
      <c r="D76" s="82"/>
      <c r="E7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76" s="82" t="str">
        <f>UPPER(IF(SUM(COUNTIF(BAIXADA!B:B,A76),COUNTIF(NORTE!B:B,A76),COUNTIF(SUL!B:B,A76))&gt;0,"CIVIS",
IF(COUNTIF(CONTIGENCIA!B:B,A76)&gt;0,"CONTINGENCIA",IF(COUNTIF(ESPECIAIS!B:B,A76)&gt;0,"ESPECIAIS",""))))</f>
        <v>CIVIS</v>
      </c>
    </row>
    <row r="77" spans="1:6" x14ac:dyDescent="0.25">
      <c r="A77" s="3" t="s">
        <v>24</v>
      </c>
      <c r="B77" s="81" t="str">
        <f t="shared" ca="1" si="4"/>
        <v>ISADORA ROSALINO</v>
      </c>
      <c r="C77" s="81" t="str">
        <f t="shared" ca="1" si="5"/>
        <v>NORTE</v>
      </c>
      <c r="D77" s="82"/>
      <c r="E7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77" s="82" t="str">
        <f>UPPER(IF(SUM(COUNTIF(BAIXADA!B:B,A77),COUNTIF(NORTE!B:B,A77),COUNTIF(SUL!B:B,A77))&gt;0,"CIVIS",
IF(COUNTIF(CONTIGENCIA!B:B,A77)&gt;0,"CONTINGENCIA",IF(COUNTIF(ESPECIAIS!B:B,A77)&gt;0,"ESPECIAIS",""))))</f>
        <v>CIVIS</v>
      </c>
    </row>
    <row r="78" spans="1:6" x14ac:dyDescent="0.25">
      <c r="A78" s="3" t="s">
        <v>94</v>
      </c>
      <c r="B78" s="81" t="str">
        <f t="shared" ca="1" si="4"/>
        <v>JAQUELINE PASTÓRIO</v>
      </c>
      <c r="C78" s="81" t="str">
        <f t="shared" ca="1" si="5"/>
        <v>SUL</v>
      </c>
      <c r="D78" s="82"/>
      <c r="E7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78" s="82" t="str">
        <f>UPPER(IF(SUM(COUNTIF(BAIXADA!B:B,A78),COUNTIF(NORTE!B:B,A78),COUNTIF(SUL!B:B,A78))&gt;0,"CIVIS",
IF(COUNTIF(CONTIGENCIA!B:B,A78)&gt;0,"CONTINGENCIA",IF(COUNTIF(ESPECIAIS!B:B,A78)&gt;0,"ESPECIAIS",""))))</f>
        <v>CIVIS</v>
      </c>
    </row>
    <row r="79" spans="1:6" x14ac:dyDescent="0.25">
      <c r="A79" s="3" t="s">
        <v>26</v>
      </c>
      <c r="B79" s="81" t="str">
        <f t="shared" ca="1" si="4"/>
        <v>GISELLE G. FONSECA</v>
      </c>
      <c r="C79" s="81" t="str">
        <f t="shared" ca="1" si="5"/>
        <v>BAIXADA</v>
      </c>
      <c r="D79" s="82"/>
      <c r="E7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79" s="82" t="str">
        <f>UPPER(IF(SUM(COUNTIF(BAIXADA!B:B,A79),COUNTIF(NORTE!B:B,A79),COUNTIF(SUL!B:B,A79))&gt;0,"CIVIS",
IF(COUNTIF(CONTIGENCIA!B:B,A79)&gt;0,"CONTINGENCIA",IF(COUNTIF(ESPECIAIS!B:B,A79)&gt;0,"ESPECIAIS",""))))</f>
        <v>CIVIS</v>
      </c>
    </row>
    <row r="80" spans="1:6" x14ac:dyDescent="0.25">
      <c r="A80" s="3" t="s">
        <v>22</v>
      </c>
      <c r="B80" s="81" t="str">
        <f t="shared" ca="1" si="4"/>
        <v>GISELLE G. FONSECA</v>
      </c>
      <c r="C80" s="81" t="str">
        <f t="shared" ca="1" si="5"/>
        <v>BAIXADA</v>
      </c>
      <c r="D80" s="82"/>
      <c r="E8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80" s="82" t="str">
        <f>UPPER(IF(SUM(COUNTIF(BAIXADA!B:B,A80),COUNTIF(NORTE!B:B,A80),COUNTIF(SUL!B:B,A80))&gt;0,"CIVIS",
IF(COUNTIF(CONTIGENCIA!B:B,A80)&gt;0,"CONTINGENCIA",IF(COUNTIF(ESPECIAIS!B:B,A80)&gt;0,"ESPECIAIS",""))))</f>
        <v>CIVIS</v>
      </c>
    </row>
    <row r="81" spans="1:6" x14ac:dyDescent="0.25">
      <c r="A81" s="3" t="s">
        <v>133</v>
      </c>
      <c r="B81" s="81" t="str">
        <f t="shared" ca="1" si="4"/>
        <v>CARLOS FERNANDES</v>
      </c>
      <c r="C81" s="81" t="str">
        <f t="shared" ca="1" si="5"/>
        <v>BAIXADA</v>
      </c>
      <c r="D81" s="82"/>
      <c r="E8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81" s="82" t="str">
        <f>UPPER(IF(SUM(COUNTIF(BAIXADA!B:B,A81),COUNTIF(NORTE!B:B,A81),COUNTIF(SUL!B:B,A81))&gt;0,"CIVIS",
IF(COUNTIF(CONTIGENCIA!B:B,A81)&gt;0,"CONTINGENCIA",IF(COUNTIF(ESPECIAIS!B:B,A81)&gt;0,"ESPECIAIS",""))))</f>
        <v>CIVIS</v>
      </c>
    </row>
    <row r="82" spans="1:6" x14ac:dyDescent="0.25">
      <c r="A82" s="3" t="s">
        <v>5</v>
      </c>
      <c r="B82" s="81" t="str">
        <f t="shared" ca="1" si="4"/>
        <v>GISELLE G. FONSECA</v>
      </c>
      <c r="C82" s="81" t="str">
        <f t="shared" ca="1" si="5"/>
        <v>BAIXADA</v>
      </c>
      <c r="D82" s="82"/>
      <c r="E8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82" s="82" t="str">
        <f>UPPER(IF(SUM(COUNTIF(BAIXADA!B:B,A82),COUNTIF(NORTE!B:B,A82),COUNTIF(SUL!B:B,A82))&gt;0,"CIVIS",
IF(COUNTIF(CONTIGENCIA!B:B,A82)&gt;0,"CONTINGENCIA",IF(COUNTIF(ESPECIAIS!B:B,A82)&gt;0,"ESPECIAIS",""))))</f>
        <v>CIVIS</v>
      </c>
    </row>
    <row r="83" spans="1:6" x14ac:dyDescent="0.25">
      <c r="A83" s="3" t="s">
        <v>27</v>
      </c>
      <c r="B83" s="81" t="str">
        <f t="shared" ca="1" si="4"/>
        <v>JAQUELINE PASTÓRIO</v>
      </c>
      <c r="C83" s="81" t="str">
        <f t="shared" ca="1" si="5"/>
        <v>SUL</v>
      </c>
      <c r="D83" s="82"/>
      <c r="E8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83" s="82" t="str">
        <f>UPPER(IF(SUM(COUNTIF(BAIXADA!B:B,A83),COUNTIF(NORTE!B:B,A83),COUNTIF(SUL!B:B,A83))&gt;0,"CIVIS",
IF(COUNTIF(CONTIGENCIA!B:B,A83)&gt;0,"CONTINGENCIA",IF(COUNTIF(ESPECIAIS!B:B,A83)&gt;0,"ESPECIAIS",""))))</f>
        <v>CIVIS</v>
      </c>
    </row>
    <row r="84" spans="1:6" x14ac:dyDescent="0.25">
      <c r="A84" s="3" t="s">
        <v>34</v>
      </c>
      <c r="B84" s="81" t="str">
        <f t="shared" ca="1" si="4"/>
        <v>JAQUELINE PASTÓRIO</v>
      </c>
      <c r="C84" s="81" t="str">
        <f t="shared" ca="1" si="5"/>
        <v>SUL</v>
      </c>
      <c r="D84" s="82"/>
      <c r="E8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84" s="82" t="str">
        <f>UPPER(IF(SUM(COUNTIF(BAIXADA!B:B,A84),COUNTIF(NORTE!B:B,A84),COUNTIF(SUL!B:B,A84))&gt;0,"CIVIS",
IF(COUNTIF(CONTIGENCIA!B:B,A84)&gt;0,"CONTINGENCIA",IF(COUNTIF(ESPECIAIS!B:B,A84)&gt;0,"ESPECIAIS",""))))</f>
        <v>CIVIS</v>
      </c>
    </row>
    <row r="85" spans="1:6" x14ac:dyDescent="0.25">
      <c r="A85" s="3" t="s">
        <v>0</v>
      </c>
      <c r="B85" s="81" t="str">
        <f t="shared" ca="1" si="4"/>
        <v>LUIZ FILHO</v>
      </c>
      <c r="C85" s="81" t="str">
        <f t="shared" ca="1" si="5"/>
        <v>SUL</v>
      </c>
      <c r="D85" s="82"/>
      <c r="E8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85" s="82" t="str">
        <f>UPPER(IF(SUM(COUNTIF(BAIXADA!B:B,A85),COUNTIF(NORTE!B:B,A85),COUNTIF(SUL!B:B,A85))&gt;0,"CIVIS",
IF(COUNTIF(CONTIGENCIA!B:B,A85)&gt;0,"CONTINGENCIA",IF(COUNTIF(ESPECIAIS!B:B,A85)&gt;0,"ESPECIAIS",""))))</f>
        <v>CIVIS</v>
      </c>
    </row>
    <row r="86" spans="1:6" x14ac:dyDescent="0.25">
      <c r="A86" s="3" t="s">
        <v>32</v>
      </c>
      <c r="B86" s="81" t="str">
        <f t="shared" ca="1" si="4"/>
        <v>JAQUELINE PASTÓRIO</v>
      </c>
      <c r="C86" s="81" t="str">
        <f t="shared" ca="1" si="5"/>
        <v>SUL</v>
      </c>
      <c r="D86" s="82"/>
      <c r="E8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86" s="82" t="str">
        <f>UPPER(IF(SUM(COUNTIF(BAIXADA!B:B,A86),COUNTIF(NORTE!B:B,A86),COUNTIF(SUL!B:B,A86))&gt;0,"CIVIS",
IF(COUNTIF(CONTIGENCIA!B:B,A86)&gt;0,"CONTINGENCIA",IF(COUNTIF(ESPECIAIS!B:B,A86)&gt;0,"ESPECIAIS",""))))</f>
        <v>CIVIS</v>
      </c>
    </row>
    <row r="87" spans="1:6" x14ac:dyDescent="0.25">
      <c r="A87" s="3" t="s">
        <v>147</v>
      </c>
      <c r="B87" s="81" t="str">
        <f t="shared" ca="1" si="4"/>
        <v>GISELLE G. FONSECA</v>
      </c>
      <c r="C87" s="81" t="str">
        <f t="shared" ca="1" si="5"/>
        <v>BAIXADA</v>
      </c>
      <c r="D87" s="82"/>
      <c r="E8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87" s="82" t="str">
        <f>UPPER(IF(SUM(COUNTIF(BAIXADA!B:B,A87),COUNTIF(NORTE!B:B,A87),COUNTIF(SUL!B:B,A87))&gt;0,"CIVIS",
IF(COUNTIF(CONTIGENCIA!B:B,A87)&gt;0,"CONTINGENCIA",IF(COUNTIF(ESPECIAIS!B:B,A87)&gt;0,"ESPECIAIS",""))))</f>
        <v>CIVIS</v>
      </c>
    </row>
    <row r="88" spans="1:6" x14ac:dyDescent="0.25">
      <c r="A88" s="3" t="s">
        <v>29</v>
      </c>
      <c r="B88" s="81" t="str">
        <f t="shared" ca="1" si="4"/>
        <v>ISADORA ROSALINO</v>
      </c>
      <c r="C88" s="81" t="str">
        <f t="shared" ca="1" si="5"/>
        <v>NORTE</v>
      </c>
      <c r="D88" s="82"/>
      <c r="E8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88" s="82" t="str">
        <f>UPPER(IF(SUM(COUNTIF(BAIXADA!B:B,A88),COUNTIF(NORTE!B:B,A88),COUNTIF(SUL!B:B,A88))&gt;0,"CIVIS",
IF(COUNTIF(CONTIGENCIA!B:B,A88)&gt;0,"CONTINGENCIA",IF(COUNTIF(ESPECIAIS!B:B,A88)&gt;0,"ESPECIAIS",""))))</f>
        <v>CIVIS</v>
      </c>
    </row>
    <row r="89" spans="1:6" x14ac:dyDescent="0.25">
      <c r="A89" s="3" t="s">
        <v>14</v>
      </c>
      <c r="B89" s="81" t="str">
        <f t="shared" ca="1" si="4"/>
        <v>GISELLE G. FONSECA</v>
      </c>
      <c r="C89" s="81" t="str">
        <f t="shared" ca="1" si="5"/>
        <v>BAIXADA</v>
      </c>
      <c r="D89" s="82"/>
      <c r="E8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89" s="82" t="str">
        <f>UPPER(IF(SUM(COUNTIF(BAIXADA!B:B,A89),COUNTIF(NORTE!B:B,A89),COUNTIF(SUL!B:B,A89))&gt;0,"CIVIS",
IF(COUNTIF(CONTIGENCIA!B:B,A89)&gt;0,"CONTINGENCIA",IF(COUNTIF(ESPECIAIS!B:B,A89)&gt;0,"ESPECIAIS",""))))</f>
        <v>CIVIS</v>
      </c>
    </row>
    <row r="90" spans="1:6" x14ac:dyDescent="0.25">
      <c r="A90" s="3" t="s">
        <v>12</v>
      </c>
      <c r="B90" s="81" t="str">
        <f t="shared" ca="1" si="4"/>
        <v>GISELLE G. FONSECA</v>
      </c>
      <c r="C90" s="81" t="str">
        <f t="shared" ca="1" si="5"/>
        <v>BAIXADA</v>
      </c>
      <c r="D90" s="82"/>
      <c r="E9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90" s="82" t="str">
        <f>UPPER(IF(SUM(COUNTIF(BAIXADA!B:B,A90),COUNTIF(NORTE!B:B,A90),COUNTIF(SUL!B:B,A90))&gt;0,"CIVIS",
IF(COUNTIF(CONTIGENCIA!B:B,A90)&gt;0,"CONTINGENCIA",IF(COUNTIF(ESPECIAIS!B:B,A90)&gt;0,"ESPECIAIS",""))))</f>
        <v>CIVIS</v>
      </c>
    </row>
    <row r="91" spans="1:6" x14ac:dyDescent="0.25">
      <c r="A91" s="3" t="s">
        <v>111</v>
      </c>
      <c r="B91" s="81" t="str">
        <f t="shared" ca="1" si="4"/>
        <v>CARLOS FERNANDES</v>
      </c>
      <c r="C91" s="81" t="str">
        <f t="shared" ca="1" si="5"/>
        <v>BAIXADA</v>
      </c>
      <c r="D91" s="82"/>
      <c r="E9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91" s="82" t="str">
        <f>UPPER(IF(SUM(COUNTIF(BAIXADA!B:B,A91),COUNTIF(NORTE!B:B,A91),COUNTIF(SUL!B:B,A91))&gt;0,"CIVIS",
IF(COUNTIF(CONTIGENCIA!B:B,A91)&gt;0,"CONTINGENCIA",IF(COUNTIF(ESPECIAIS!B:B,A91)&gt;0,"ESPECIAIS",""))))</f>
        <v>CIVIS</v>
      </c>
    </row>
    <row r="92" spans="1:6" x14ac:dyDescent="0.25">
      <c r="A92" s="3" t="s">
        <v>146</v>
      </c>
      <c r="B92" s="81" t="str">
        <f t="shared" ca="1" si="4"/>
        <v>CARLOS FERNANDES</v>
      </c>
      <c r="C92" s="81" t="str">
        <f t="shared" ca="1" si="5"/>
        <v>BAIXADA</v>
      </c>
      <c r="D92" s="82"/>
      <c r="E9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92" s="82" t="str">
        <f>UPPER(IF(SUM(COUNTIF(BAIXADA!B:B,A92),COUNTIF(NORTE!B:B,A92),COUNTIF(SUL!B:B,A92))&gt;0,"CIVIS",
IF(COUNTIF(CONTIGENCIA!B:B,A92)&gt;0,"CONTINGENCIA",IF(COUNTIF(ESPECIAIS!B:B,A92)&gt;0,"ESPECIAIS",""))))</f>
        <v>CIVIS</v>
      </c>
    </row>
    <row r="93" spans="1:6" x14ac:dyDescent="0.25">
      <c r="A93" s="3" t="s">
        <v>236</v>
      </c>
      <c r="B93" s="81" t="str">
        <f t="shared" ca="1" si="4"/>
        <v>GISELLE G. FONSECA</v>
      </c>
      <c r="C93" s="81" t="str">
        <f t="shared" ca="1" si="5"/>
        <v>BAIXADA</v>
      </c>
      <c r="D93" s="82"/>
      <c r="E9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93" s="82" t="str">
        <f>UPPER(IF(SUM(COUNTIF(BAIXADA!B:B,A93),COUNTIF(NORTE!B:B,A93),COUNTIF(SUL!B:B,A93))&gt;0,"CIVIS",
IF(COUNTIF(CONTIGENCIA!B:B,A93)&gt;0,"CONTINGENCIA",IF(COUNTIF(ESPECIAIS!B:B,A93)&gt;0,"ESPECIAIS",""))))</f>
        <v>CONTINGENCIA</v>
      </c>
    </row>
    <row r="94" spans="1:6" x14ac:dyDescent="0.25">
      <c r="A94" s="3" t="s">
        <v>242</v>
      </c>
      <c r="B94" s="81" t="str">
        <f t="shared" ca="1" si="4"/>
        <v>GISELLE G. FONSECA</v>
      </c>
      <c r="C94" s="81" t="str">
        <f t="shared" ca="1" si="5"/>
        <v>BAIXADA</v>
      </c>
      <c r="D94" s="82"/>
      <c r="E9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94" s="82" t="str">
        <f>UPPER(IF(SUM(COUNTIF(BAIXADA!B:B,A94),COUNTIF(NORTE!B:B,A94),COUNTIF(SUL!B:B,A94))&gt;0,"CIVIS",
IF(COUNTIF(CONTIGENCIA!B:B,A94)&gt;0,"CONTINGENCIA",IF(COUNTIF(ESPECIAIS!B:B,A94)&gt;0,"ESPECIAIS",""))))</f>
        <v>CONTINGENCIA</v>
      </c>
    </row>
    <row r="95" spans="1:6" x14ac:dyDescent="0.25">
      <c r="A95" s="3" t="s">
        <v>2</v>
      </c>
      <c r="B95" s="81" t="str">
        <f t="shared" ca="1" si="4"/>
        <v>JAQUELINE PASTÓRIO</v>
      </c>
      <c r="C95" s="81" t="str">
        <f t="shared" ca="1" si="5"/>
        <v>SUL</v>
      </c>
      <c r="D95" s="82"/>
      <c r="E9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95" s="82" t="str">
        <f>UPPER(IF(SUM(COUNTIF(BAIXADA!B:B,A95),COUNTIF(NORTE!B:B,A95),COUNTIF(SUL!B:B,A95))&gt;0,"CIVIS",
IF(COUNTIF(CONTIGENCIA!B:B,A95)&gt;0,"CONTINGENCIA",IF(COUNTIF(ESPECIAIS!B:B,A95)&gt;0,"ESPECIAIS",""))))</f>
        <v>CIVIS</v>
      </c>
    </row>
    <row r="96" spans="1:6" x14ac:dyDescent="0.25">
      <c r="A96" s="3" t="s">
        <v>248</v>
      </c>
      <c r="B96" s="81" t="str">
        <f t="shared" ca="1" si="4"/>
        <v>GISELLE G. FONSECA</v>
      </c>
      <c r="C96" s="81" t="str">
        <f t="shared" ca="1" si="5"/>
        <v>BAIXADA</v>
      </c>
      <c r="D96" s="82"/>
      <c r="E9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96" s="82" t="str">
        <f>UPPER(IF(SUM(COUNTIF(BAIXADA!B:B,A96),COUNTIF(NORTE!B:B,A96),COUNTIF(SUL!B:B,A96))&gt;0,"CIVIS",
IF(COUNTIF(CONTIGENCIA!B:B,A96)&gt;0,"CONTINGENCIA",IF(COUNTIF(ESPECIAIS!B:B,A96)&gt;0,"ESPECIAIS",""))))</f>
        <v>CONTINGENCIA</v>
      </c>
    </row>
    <row r="97" spans="1:6" x14ac:dyDescent="0.25">
      <c r="A97" s="3" t="s">
        <v>4</v>
      </c>
      <c r="B97" s="81" t="str">
        <f t="shared" ca="1" si="4"/>
        <v>JAQUELINE PASTÓRIO</v>
      </c>
      <c r="C97" s="81" t="str">
        <f t="shared" ca="1" si="5"/>
        <v>SUL</v>
      </c>
      <c r="D97" s="82"/>
      <c r="E9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97" s="82" t="str">
        <f>UPPER(IF(SUM(COUNTIF(BAIXADA!B:B,A97),COUNTIF(NORTE!B:B,A97),COUNTIF(SUL!B:B,A97))&gt;0,"CIVIS",
IF(COUNTIF(CONTIGENCIA!B:B,A97)&gt;0,"CONTINGENCIA",IF(COUNTIF(ESPECIAIS!B:B,A97)&gt;0,"ESPECIAIS",""))))</f>
        <v>CIVIS</v>
      </c>
    </row>
    <row r="98" spans="1:6" x14ac:dyDescent="0.25">
      <c r="A98" s="3" t="s">
        <v>173</v>
      </c>
      <c r="B98" s="81" t="str">
        <f t="shared" ref="B98:B129" ca="1" si="6">UPPER(TRIM(UPPER(IFERROR(VLOOKUP(A98,INDIRECT("'BAIXADA'!$B$3:$I$51"),3,FALSE),
IFERROR(VLOOKUP(A98,INDIRECT("'NORTE'!$B$3:$I$21"),3,FALSE),
IFERROR(VLOOKUP(A98,INDIRECT("'SUL'!$B$3:$I$31"),3,FALSE),
IFERROR(VLOOKUP(A98,INDIRECT("'CONTIGENCIA'!$B$3:$I$22"),3,FALSE),
IFERROR(VLOOKUP(A98,INDIRECT("'ESPECIAIS'!$B$3:$I$27"),3,FALSE),""))))))))</f>
        <v>CARLOS FERNANDES</v>
      </c>
      <c r="C98" s="81" t="str">
        <f t="shared" ref="C98:C129" ca="1" si="7">IF(OR(B98="CARLOS FERNANDES", B98="GISELLE G. FONSECA"), "BAIXADA",
 IF(OR(B98="ISADORA ROSALINO", B98="JEHNIFFER PIRES"), "NORTE",
 IF(OR(B98="LUIZ FILHO", B98="MARCUS", B98="JAQUELINE PASTÓRIO"), "SUL",
 IF(OR(B98="AIMAR FILHO", B98="ERICK HYLARIO", B98="IGOR CARNEIRO", B98="CESAR", B98="DANRLEI"), "ESPECIAIS",""))))</f>
        <v>BAIXADA</v>
      </c>
      <c r="D98" s="82"/>
      <c r="E9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98" s="82" t="str">
        <f>UPPER(IF(SUM(COUNTIF(BAIXADA!B:B,A98),COUNTIF(NORTE!B:B,A98),COUNTIF(SUL!B:B,A98))&gt;0,"CIVIS",
IF(COUNTIF(CONTIGENCIA!B:B,A98)&gt;0,"CONTINGENCIA",IF(COUNTIF(ESPECIAIS!B:B,A98)&gt;0,"ESPECIAIS",""))))</f>
        <v>CIVIS</v>
      </c>
    </row>
    <row r="99" spans="1:6" x14ac:dyDescent="0.25">
      <c r="A99" s="3" t="s">
        <v>115</v>
      </c>
      <c r="B99" s="81" t="str">
        <f t="shared" ca="1" si="6"/>
        <v>CARLOS FERNANDES</v>
      </c>
      <c r="C99" s="81" t="str">
        <f t="shared" ca="1" si="7"/>
        <v>BAIXADA</v>
      </c>
      <c r="D99" s="82"/>
      <c r="E9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99" s="82" t="str">
        <f>UPPER(IF(SUM(COUNTIF(BAIXADA!B:B,A99),COUNTIF(NORTE!B:B,A99),COUNTIF(SUL!B:B,A99))&gt;0,"CIVIS",
IF(COUNTIF(CONTIGENCIA!B:B,A99)&gt;0,"CONTINGENCIA",IF(COUNTIF(ESPECIAIS!B:B,A99)&gt;0,"ESPECIAIS",""))))</f>
        <v>CIVIS</v>
      </c>
    </row>
    <row r="100" spans="1:6" x14ac:dyDescent="0.25">
      <c r="A100" s="3" t="s">
        <v>175</v>
      </c>
      <c r="B100" s="81" t="str">
        <f t="shared" ca="1" si="6"/>
        <v>CARLOS FERNANDES</v>
      </c>
      <c r="C100" s="81" t="str">
        <f t="shared" ca="1" si="7"/>
        <v>BAIXADA</v>
      </c>
      <c r="D100" s="82"/>
      <c r="E10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00" s="82" t="str">
        <f>UPPER(IF(SUM(COUNTIF(BAIXADA!B:B,A100),COUNTIF(NORTE!B:B,A100),COUNTIF(SUL!B:B,A100))&gt;0,"CIVIS",
IF(COUNTIF(CONTIGENCIA!B:B,A100)&gt;0,"CONTINGENCIA",IF(COUNTIF(ESPECIAIS!B:B,A100)&gt;0,"ESPECIAIS",""))))</f>
        <v>CIVIS</v>
      </c>
    </row>
    <row r="101" spans="1:6" x14ac:dyDescent="0.25">
      <c r="A101" s="3" t="s">
        <v>226</v>
      </c>
      <c r="B101" s="81" t="str">
        <f t="shared" ca="1" si="6"/>
        <v>MARCUS</v>
      </c>
      <c r="C101" s="81" t="str">
        <f t="shared" ca="1" si="7"/>
        <v>SUL</v>
      </c>
      <c r="D101" s="83"/>
      <c r="E101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101" s="82" t="str">
        <f>UPPER(IF(SUM(COUNTIF(BAIXADA!B:B,A101),COUNTIF(NORTE!B:B,A101),COUNTIF(SUL!B:B,A101))&gt;0,"CIVIS",
IF(COUNTIF(CONTIGENCIA!B:B,A101)&gt;0,"CONTINGENCIA",IF(COUNTIF(ESPECIAIS!B:B,A101)&gt;0,"ESPECIAIS",""))))</f>
        <v>ESPECIAIS</v>
      </c>
    </row>
    <row r="102" spans="1:6" x14ac:dyDescent="0.25">
      <c r="A102" s="3" t="s">
        <v>180</v>
      </c>
      <c r="B102" s="81" t="str">
        <f t="shared" ca="1" si="6"/>
        <v>JAQUELINE PASTÓRIO</v>
      </c>
      <c r="C102" s="81" t="str">
        <f t="shared" ca="1" si="7"/>
        <v>SUL</v>
      </c>
      <c r="D102" s="83"/>
      <c r="E102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02" s="82" t="str">
        <f>UPPER(IF(SUM(COUNTIF(BAIXADA!B:B,A102),COUNTIF(NORTE!B:B,A102),COUNTIF(SUL!B:B,A102))&gt;0,"CIVIS",
IF(COUNTIF(CONTIGENCIA!B:B,A102)&gt;0,"CONTINGENCIA",IF(COUNTIF(ESPECIAIS!B:B,A102)&gt;0,"ESPECIAIS",""))))</f>
        <v>ESPECIAIS</v>
      </c>
    </row>
    <row r="103" spans="1:6" x14ac:dyDescent="0.25">
      <c r="A103" s="3" t="s">
        <v>215</v>
      </c>
      <c r="B103" s="81" t="str">
        <f t="shared" ca="1" si="6"/>
        <v>ERICK HYLARIO</v>
      </c>
      <c r="C103" s="81" t="str">
        <f t="shared" ca="1" si="7"/>
        <v>ESPECIAIS</v>
      </c>
      <c r="D103" s="82"/>
      <c r="E10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103" s="82" t="str">
        <f>UPPER(IF(SUM(COUNTIF(BAIXADA!B:B,A103),COUNTIF(NORTE!B:B,A103),COUNTIF(SUL!B:B,A103))&gt;0,"CIVIS",
IF(COUNTIF(CONTIGENCIA!B:B,A103)&gt;0,"CONTINGENCIA",IF(COUNTIF(ESPECIAIS!B:B,A103)&gt;0,"ESPECIAIS",""))))</f>
        <v>ESPECIAIS</v>
      </c>
    </row>
    <row r="104" spans="1:6" x14ac:dyDescent="0.25">
      <c r="A104" s="3" t="s">
        <v>256</v>
      </c>
      <c r="B104" s="81" t="str">
        <f t="shared" ca="1" si="6"/>
        <v>CESAR</v>
      </c>
      <c r="C104" s="81" t="str">
        <f t="shared" ca="1" si="7"/>
        <v>ESPECIAIS</v>
      </c>
      <c r="D104" s="82"/>
      <c r="E10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04" s="82" t="str">
        <f>UPPER(IF(SUM(COUNTIF(BAIXADA!B:B,A104),COUNTIF(NORTE!B:B,A104),COUNTIF(SUL!B:B,A104))&gt;0,"CIVIS",
IF(COUNTIF(CONTIGENCIA!B:B,A104)&gt;0,"CONTINGENCIA",IF(COUNTIF(ESPECIAIS!B:B,A104)&gt;0,"ESPECIAIS",""))))</f>
        <v>ESPECIAIS</v>
      </c>
    </row>
    <row r="105" spans="1:6" x14ac:dyDescent="0.25">
      <c r="A105" s="3" t="s">
        <v>163</v>
      </c>
      <c r="B105" s="81" t="str">
        <f t="shared" ca="1" si="6"/>
        <v>ISADORA ROSALINO</v>
      </c>
      <c r="C105" s="81" t="str">
        <f t="shared" ca="1" si="7"/>
        <v>NORTE</v>
      </c>
      <c r="D105" s="83"/>
      <c r="E10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105" s="82" t="str">
        <f>UPPER(IF(SUM(COUNTIF(BAIXADA!B:B,A105),COUNTIF(NORTE!B:B,A105),COUNTIF(SUL!B:B,A105))&gt;0,"CIVIS",
IF(COUNTIF(CONTIGENCIA!B:B,A105)&gt;0,"CONTINGENCIA",IF(COUNTIF(ESPECIAIS!B:B,A105)&gt;0,"ESPECIAIS",""))))</f>
        <v>CIVIS</v>
      </c>
    </row>
    <row r="106" spans="1:6" x14ac:dyDescent="0.25">
      <c r="A106" s="3" t="s">
        <v>143</v>
      </c>
      <c r="B106" s="81" t="str">
        <f t="shared" ca="1" si="6"/>
        <v>GISELLE G. FONSECA</v>
      </c>
      <c r="C106" s="81" t="str">
        <f t="shared" ca="1" si="7"/>
        <v>BAIXADA</v>
      </c>
      <c r="D106" s="83"/>
      <c r="E10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06" s="82" t="str">
        <f>UPPER(IF(SUM(COUNTIF(BAIXADA!B:B,A106),COUNTIF(NORTE!B:B,A106),COUNTIF(SUL!B:B,A106))&gt;0,"CIVIS",
IF(COUNTIF(CONTIGENCIA!B:B,A106)&gt;0,"CONTINGENCIA",IF(COUNTIF(ESPECIAIS!B:B,A106)&gt;0,"ESPECIAIS",""))))</f>
        <v>CIVIS</v>
      </c>
    </row>
    <row r="107" spans="1:6" x14ac:dyDescent="0.25">
      <c r="A107" s="3" t="s">
        <v>183</v>
      </c>
      <c r="B107" s="81" t="str">
        <f t="shared" ca="1" si="6"/>
        <v>AIMAR FILHO</v>
      </c>
      <c r="C107" s="81" t="str">
        <f t="shared" ca="1" si="7"/>
        <v>ESPECIAIS</v>
      </c>
      <c r="D107" s="83"/>
      <c r="E10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107" s="82" t="str">
        <f>UPPER(IF(SUM(COUNTIF(BAIXADA!B:B,A107),COUNTIF(NORTE!B:B,A107),COUNTIF(SUL!B:B,A107))&gt;0,"CIVIS",
IF(COUNTIF(CONTIGENCIA!B:B,A107)&gt;0,"CONTINGENCIA",IF(COUNTIF(ESPECIAIS!B:B,A107)&gt;0,"ESPECIAIS",""))))</f>
        <v>ESPECIAIS</v>
      </c>
    </row>
    <row r="108" spans="1:6" x14ac:dyDescent="0.25">
      <c r="A108" s="3" t="s">
        <v>191</v>
      </c>
      <c r="B108" s="81" t="str">
        <f t="shared" ca="1" si="6"/>
        <v>IGOR CARNEIRO</v>
      </c>
      <c r="C108" s="81" t="str">
        <f t="shared" ca="1" si="7"/>
        <v>ESPECIAIS</v>
      </c>
      <c r="D108" s="83"/>
      <c r="E108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08" s="82" t="str">
        <f>UPPER(IF(SUM(COUNTIF(BAIXADA!B:B,A108),COUNTIF(NORTE!B:B,A108),COUNTIF(SUL!B:B,A108))&gt;0,"CIVIS",
IF(COUNTIF(CONTIGENCIA!B:B,A108)&gt;0,"CONTINGENCIA",IF(COUNTIF(ESPECIAIS!B:B,A108)&gt;0,"ESPECIAIS",""))))</f>
        <v>ESPECIAIS</v>
      </c>
    </row>
    <row r="109" spans="1:6" x14ac:dyDescent="0.25">
      <c r="A109" s="3" t="s">
        <v>218</v>
      </c>
      <c r="B109" s="81" t="str">
        <f t="shared" ca="1" si="6"/>
        <v>CARLOS FERNANDES</v>
      </c>
      <c r="C109" s="81" t="str">
        <f t="shared" ca="1" si="7"/>
        <v>BAIXADA</v>
      </c>
      <c r="D109" s="83"/>
      <c r="E109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109" s="82" t="str">
        <f>UPPER(IF(SUM(COUNTIF(BAIXADA!B:B,A109),COUNTIF(NORTE!B:B,A109),COUNTIF(SUL!B:B,A109))&gt;0,"CIVIS",
IF(COUNTIF(CONTIGENCIA!B:B,A109)&gt;0,"CONTINGENCIA",IF(COUNTIF(ESPECIAIS!B:B,A109)&gt;0,"ESPECIAIS",""))))</f>
        <v>CIVIS</v>
      </c>
    </row>
    <row r="110" spans="1:6" x14ac:dyDescent="0.25">
      <c r="A110" s="3" t="s">
        <v>217</v>
      </c>
      <c r="B110" s="81" t="str">
        <f t="shared" ca="1" si="6"/>
        <v>CARLOS FERNANDES</v>
      </c>
      <c r="C110" s="81" t="str">
        <f t="shared" ca="1" si="7"/>
        <v>BAIXADA</v>
      </c>
      <c r="D110" s="82"/>
      <c r="E11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#CONCLUIDA</v>
      </c>
      <c r="F110" s="82" t="str">
        <f>UPPER(IF(SUM(COUNTIF(BAIXADA!B:B,A110),COUNTIF(NORTE!B:B,A110),COUNTIF(SUL!B:B,A110))&gt;0,"CIVIS",
IF(COUNTIF(CONTIGENCIA!B:B,A110)&gt;0,"CONTINGENCIA",IF(COUNTIF(ESPECIAIS!B:B,A110)&gt;0,"ESPECIAIS",""))))</f>
        <v>CIVIS</v>
      </c>
    </row>
    <row r="111" spans="1:6" x14ac:dyDescent="0.25">
      <c r="A111" s="3" t="s">
        <v>184</v>
      </c>
      <c r="B111" s="81" t="str">
        <f t="shared" ca="1" si="6"/>
        <v>JAQUELINE PASTÓRIO</v>
      </c>
      <c r="C111" s="81" t="str">
        <f t="shared" ca="1" si="7"/>
        <v>SUL</v>
      </c>
      <c r="D111" s="83"/>
      <c r="E11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11" s="82" t="str">
        <f>UPPER(IF(SUM(COUNTIF(BAIXADA!B:B,A111),COUNTIF(NORTE!B:B,A111),COUNTIF(SUL!B:B,A111))&gt;0,"CIVIS",
IF(COUNTIF(CONTIGENCIA!B:B,A111)&gt;0,"CONTINGENCIA",IF(COUNTIF(ESPECIAIS!B:B,A111)&gt;0,"ESPECIAIS",""))))</f>
        <v>ESPECIAIS</v>
      </c>
    </row>
    <row r="112" spans="1:6" x14ac:dyDescent="0.25">
      <c r="A112" s="3" t="s">
        <v>185</v>
      </c>
      <c r="B112" s="81" t="str">
        <f t="shared" ca="1" si="6"/>
        <v>JAQUELINE PASTÓRIO</v>
      </c>
      <c r="C112" s="81" t="str">
        <f t="shared" ca="1" si="7"/>
        <v>SUL</v>
      </c>
      <c r="D112" s="82"/>
      <c r="E11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12" s="82" t="str">
        <f>UPPER(IF(SUM(COUNTIF(BAIXADA!B:B,A112),COUNTIF(NORTE!B:B,A112),COUNTIF(SUL!B:B,A112))&gt;0,"CIVIS",
IF(COUNTIF(CONTIGENCIA!B:B,A112)&gt;0,"CONTINGENCIA",IF(COUNTIF(ESPECIAIS!B:B,A112)&gt;0,"ESPECIAIS",""))))</f>
        <v>ESPECIAIS</v>
      </c>
    </row>
    <row r="113" spans="1:6" x14ac:dyDescent="0.25">
      <c r="A113" s="3" t="s">
        <v>186</v>
      </c>
      <c r="B113" s="81" t="str">
        <f t="shared" ca="1" si="6"/>
        <v>ERICK HYLARIO</v>
      </c>
      <c r="C113" s="81" t="str">
        <f t="shared" ca="1" si="7"/>
        <v>ESPECIAIS</v>
      </c>
      <c r="D113" s="82"/>
      <c r="E11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PROVISORIO</v>
      </c>
      <c r="F113" s="82" t="str">
        <f>UPPER(IF(SUM(COUNTIF(BAIXADA!B:B,A113),COUNTIF(NORTE!B:B,A113),COUNTIF(SUL!B:B,A113))&gt;0,"CIVIS",
IF(COUNTIF(CONTIGENCIA!B:B,A113)&gt;0,"CONTINGENCIA",IF(COUNTIF(ESPECIAIS!B:B,A113)&gt;0,"ESPECIAIS",""))))</f>
        <v>ESPECIAIS</v>
      </c>
    </row>
    <row r="114" spans="1:6" x14ac:dyDescent="0.25">
      <c r="A114" s="3" t="s">
        <v>255</v>
      </c>
      <c r="B114" s="81" t="str">
        <f t="shared" ca="1" si="6"/>
        <v>JAQUELINE PASTÓRIO</v>
      </c>
      <c r="C114" s="81" t="str">
        <f t="shared" ca="1" si="7"/>
        <v>SUL</v>
      </c>
      <c r="D114" s="82"/>
      <c r="E11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114" s="82" t="str">
        <f>UPPER(IF(SUM(COUNTIF(BAIXADA!B:B,A114),COUNTIF(NORTE!B:B,A114),COUNTIF(SUL!B:B,A114))&gt;0,"CIVIS",
IF(COUNTIF(CONTIGENCIA!B:B,A114)&gt;0,"CONTINGENCIA",IF(COUNTIF(ESPECIAIS!B:B,A114)&gt;0,"ESPECIAIS",""))))</f>
        <v>ESPECIAIS</v>
      </c>
    </row>
    <row r="115" spans="1:6" x14ac:dyDescent="0.25">
      <c r="A115" s="3" t="s">
        <v>257</v>
      </c>
      <c r="B115" s="81" t="str">
        <f t="shared" ca="1" si="6"/>
        <v>ERICK HYLARIO</v>
      </c>
      <c r="C115" s="81" t="str">
        <f t="shared" ca="1" si="7"/>
        <v>ESPECIAIS</v>
      </c>
      <c r="D115" s="82"/>
      <c r="E115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15" s="82" t="str">
        <f>UPPER(IF(SUM(COUNTIF(BAIXADA!B:B,A115),COUNTIF(NORTE!B:B,A115),COUNTIF(SUL!B:B,A115))&gt;0,"CIVIS",
IF(COUNTIF(CONTIGENCIA!B:B,A115)&gt;0,"CONTINGENCIA",IF(COUNTIF(ESPECIAIS!B:B,A115)&gt;0,"ESPECIAIS",""))))</f>
        <v>ESPECIAIS</v>
      </c>
    </row>
    <row r="116" spans="1:6" x14ac:dyDescent="0.25">
      <c r="A116" s="3" t="s">
        <v>187</v>
      </c>
      <c r="B116" s="81" t="str">
        <f t="shared" ca="1" si="6"/>
        <v>ERICK HYLARIO</v>
      </c>
      <c r="C116" s="81" t="str">
        <f t="shared" ca="1" si="7"/>
        <v>ESPECIAIS</v>
      </c>
      <c r="D116" s="83"/>
      <c r="E116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116" s="82" t="str">
        <f>UPPER(IF(SUM(COUNTIF(BAIXADA!B:B,A116),COUNTIF(NORTE!B:B,A116),COUNTIF(SUL!B:B,A116))&gt;0,"CIVIS",
IF(COUNTIF(CONTIGENCIA!B:B,A116)&gt;0,"CONTINGENCIA",IF(COUNTIF(ESPECIAIS!B:B,A116)&gt;0,"ESPECIAIS",""))))</f>
        <v>ESPECIAIS</v>
      </c>
    </row>
    <row r="117" spans="1:6" x14ac:dyDescent="0.25">
      <c r="A117" s="3" t="s">
        <v>188</v>
      </c>
      <c r="B117" s="81" t="str">
        <f t="shared" ca="1" si="6"/>
        <v>ERICK HYLARIO</v>
      </c>
      <c r="C117" s="81" t="str">
        <f t="shared" ca="1" si="7"/>
        <v>ESPECIAIS</v>
      </c>
      <c r="D117" s="82"/>
      <c r="E117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117" s="82" t="str">
        <f>UPPER(IF(SUM(COUNTIF(BAIXADA!B:B,A117),COUNTIF(NORTE!B:B,A117),COUNTIF(SUL!B:B,A117))&gt;0,"CIVIS",
IF(COUNTIF(CONTIGENCIA!B:B,A117)&gt;0,"CONTINGENCIA",IF(COUNTIF(ESPECIAIS!B:B,A117)&gt;0,"ESPECIAIS",""))))</f>
        <v>ESPECIAIS</v>
      </c>
    </row>
    <row r="118" spans="1:6" x14ac:dyDescent="0.25">
      <c r="A118" s="3" t="s">
        <v>230</v>
      </c>
      <c r="B118" s="81" t="str">
        <f t="shared" ca="1" si="6"/>
        <v>JEHNIFFER PIRES</v>
      </c>
      <c r="C118" s="81" t="str">
        <f t="shared" ca="1" si="7"/>
        <v>NORTE</v>
      </c>
      <c r="D118" s="82"/>
      <c r="E118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18" s="82" t="str">
        <f>UPPER(IF(SUM(COUNTIF(BAIXADA!B:B,A118),COUNTIF(NORTE!B:B,A118),COUNTIF(SUL!B:B,A118))&gt;0,"CIVIS",
IF(COUNTIF(CONTIGENCIA!B:B,A118)&gt;0,"CONTINGENCIA",IF(COUNTIF(ESPECIAIS!B:B,A118)&gt;0,"ESPECIAIS",""))))</f>
        <v>CIVIS</v>
      </c>
    </row>
    <row r="119" spans="1:6" x14ac:dyDescent="0.25">
      <c r="A119" s="3" t="s">
        <v>251</v>
      </c>
      <c r="B119" s="81" t="str">
        <f t="shared" ca="1" si="6"/>
        <v>JAQUELINE PASTÓRIO</v>
      </c>
      <c r="C119" s="81" t="str">
        <f t="shared" ca="1" si="7"/>
        <v>SUL</v>
      </c>
      <c r="D119" s="83"/>
      <c r="E119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19" s="82" t="str">
        <f>UPPER(IF(SUM(COUNTIF(BAIXADA!B:B,A119),COUNTIF(NORTE!B:B,A119),COUNTIF(SUL!B:B,A119))&gt;0,"CIVIS",
IF(COUNTIF(CONTIGENCIA!B:B,A119)&gt;0,"CONTINGENCIA",IF(COUNTIF(ESPECIAIS!B:B,A119)&gt;0,"ESPECIAIS",""))))</f>
        <v>CIVIS</v>
      </c>
    </row>
    <row r="120" spans="1:6" x14ac:dyDescent="0.25">
      <c r="A120" s="3" t="s">
        <v>144</v>
      </c>
      <c r="B120" s="81" t="str">
        <f t="shared" ca="1" si="6"/>
        <v>GISELLE G. FONSECA</v>
      </c>
      <c r="C120" s="81" t="str">
        <f t="shared" ca="1" si="7"/>
        <v>BAIXADA</v>
      </c>
      <c r="D120" s="82"/>
      <c r="E120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DEFINITIVO</v>
      </c>
      <c r="F120" s="82" t="str">
        <f>UPPER(IF(SUM(COUNTIF(BAIXADA!B:B,A120),COUNTIF(NORTE!B:B,A120),COUNTIF(SUL!B:B,A120))&gt;0,"CIVIS",
IF(COUNTIF(CONTIGENCIA!B:B,A120)&gt;0,"CONTINGENCIA",IF(COUNTIF(ESPECIAIS!B:B,A120)&gt;0,"ESPECIAIS",""))))</f>
        <v>ESPECIAIS</v>
      </c>
    </row>
    <row r="121" spans="1:6" x14ac:dyDescent="0.25">
      <c r="A121" s="3" t="s">
        <v>281</v>
      </c>
      <c r="B121" s="81" t="str">
        <f t="shared" ca="1" si="6"/>
        <v>JEHNIFFER PIRES</v>
      </c>
      <c r="C121" s="81" t="str">
        <f t="shared" ca="1" si="7"/>
        <v>NORTE</v>
      </c>
      <c r="D121" s="82"/>
      <c r="E121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21" s="82" t="str">
        <f>UPPER(IF(SUM(COUNTIF(BAIXADA!B:B,A121),COUNTIF(NORTE!B:B,A121),COUNTIF(SUL!B:B,A121))&gt;0,"CIVIS",
IF(COUNTIF(CONTIGENCIA!B:B,A121)&gt;0,"CONTINGENCIA",IF(COUNTIF(ESPECIAIS!B:B,A121)&gt;0,"ESPECIAIS",""))))</f>
        <v>CONTINGENCIA</v>
      </c>
    </row>
    <row r="122" spans="1:6" x14ac:dyDescent="0.25">
      <c r="A122" s="3" t="s">
        <v>190</v>
      </c>
      <c r="B122" s="81" t="str">
        <f t="shared" ca="1" si="6"/>
        <v>JAQUELINE PASTÓRIO</v>
      </c>
      <c r="C122" s="81" t="str">
        <f t="shared" ca="1" si="7"/>
        <v>SUL</v>
      </c>
      <c r="D122" s="83"/>
      <c r="E122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22" s="83" t="str">
        <f>UPPER(IF(SUM(COUNTIF(BAIXADA!B:B,A122),COUNTIF(NORTE!B:B,A122),COUNTIF(SUL!B:B,A122))&gt;0,"CIVIS",
IF(COUNTIF(CONTIGENCIA!B:B,A122)&gt;0,"CONTINGENCIA",IF(COUNTIF(ESPECIAIS!B:B,A122)&gt;0,"ESPECIAIS",""))))</f>
        <v>ESPECIAIS</v>
      </c>
    </row>
    <row r="123" spans="1:6" x14ac:dyDescent="0.25">
      <c r="A123" s="3" t="s">
        <v>192</v>
      </c>
      <c r="B123" s="81" t="str">
        <f t="shared" ca="1" si="6"/>
        <v>ERICK HYLARIO</v>
      </c>
      <c r="C123" s="81" t="str">
        <f t="shared" ca="1" si="7"/>
        <v>ESPECIAIS</v>
      </c>
      <c r="D123" s="83"/>
      <c r="E123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ACEITE PROVISORIO</v>
      </c>
      <c r="F123" s="83" t="str">
        <f>UPPER(IF(SUM(COUNTIF(BAIXADA!B:B,A123),COUNTIF(NORTE!B:B,A123),COUNTIF(SUL!B:B,A123))&gt;0,"CIVIS",
IF(COUNTIF(CONTIGENCIA!B:B,A123)&gt;0,"CONTINGENCIA",IF(COUNTIF(ESPECIAIS!B:B,A123)&gt;0,"ESPECIAIS",""))))</f>
        <v>ESPECIAIS</v>
      </c>
    </row>
    <row r="124" spans="1:6" x14ac:dyDescent="0.25">
      <c r="A124" s="3" t="s">
        <v>224</v>
      </c>
      <c r="B124" s="81" t="str">
        <f t="shared" ca="1" si="6"/>
        <v>AIMAR FILHO</v>
      </c>
      <c r="C124" s="81" t="str">
        <f t="shared" ca="1" si="7"/>
        <v>ESPECIAIS</v>
      </c>
      <c r="D124" s="83"/>
      <c r="E124" s="82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DISTRATO</v>
      </c>
      <c r="F124" s="83" t="str">
        <f>UPPER(IF(SUM(COUNTIF(BAIXADA!B:B,A124),COUNTIF(NORTE!B:B,A124),COUNTIF(SUL!B:B,A124))&gt;0,"CIVIS",
IF(COUNTIF(CONTIGENCIA!B:B,A124)&gt;0,"CONTINGENCIA",IF(COUNTIF(ESPECIAIS!B:B,A124)&gt;0,"ESPECIAIS",""))))</f>
        <v>ESPECIAIS</v>
      </c>
    </row>
    <row r="125" spans="1:6" x14ac:dyDescent="0.25">
      <c r="A125" s="16" t="s">
        <v>287</v>
      </c>
      <c r="B125" s="90" t="str">
        <f t="shared" ca="1" si="6"/>
        <v>GISELLE G. FONSECA</v>
      </c>
      <c r="C125" s="90" t="str">
        <f t="shared" ca="1" si="7"/>
        <v>BAIXADA</v>
      </c>
      <c r="D125" s="83"/>
      <c r="E125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25" s="83" t="str">
        <f>UPPER(IF(SUM(COUNTIF(BAIXADA!B:B,A125),COUNTIF(NORTE!B:B,A125),COUNTIF(SUL!B:B,A125))&gt;0,"CIVIS",
IF(COUNTIF(CONTIGENCIA!B:B,A125)&gt;0,"CONTINGENCIA",IF(COUNTIF(ESPECIAIS!B:B,A125)&gt;0,"ESPECIAIS",""))))</f>
        <v>CIVIS</v>
      </c>
    </row>
    <row r="126" spans="1:6" x14ac:dyDescent="0.25">
      <c r="A126" s="24" t="s">
        <v>289</v>
      </c>
      <c r="B126" s="90" t="str">
        <f t="shared" ca="1" si="6"/>
        <v>CARLOS FERNANDES</v>
      </c>
      <c r="C126" s="90" t="str">
        <f t="shared" ca="1" si="7"/>
        <v>BAIXADA</v>
      </c>
      <c r="D126" s="83"/>
      <c r="E126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26" s="83" t="str">
        <f>UPPER(IF(SUM(COUNTIF(BAIXADA!B:B,A126),COUNTIF(NORTE!B:B,A126),COUNTIF(SUL!B:B,A126))&gt;0,"CIVIS",
IF(COUNTIF(CONTIGENCIA!B:B,A126)&gt;0,"CONTINGENCIA",IF(COUNTIF(ESPECIAIS!B:B,A126)&gt;0,"ESPECIAIS",""))))</f>
        <v>CIVIS</v>
      </c>
    </row>
    <row r="127" spans="1:6" x14ac:dyDescent="0.25">
      <c r="A127" s="24" t="s">
        <v>339</v>
      </c>
      <c r="B127" s="90" t="str">
        <f t="shared" ca="1" si="6"/>
        <v>GISELLE G. FONSECA</v>
      </c>
      <c r="C127" s="90" t="str">
        <f t="shared" ca="1" si="7"/>
        <v>BAIXADA</v>
      </c>
      <c r="D127" s="83"/>
      <c r="E127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CONCLUIDA</v>
      </c>
      <c r="F127" s="83" t="str">
        <f>UPPER(IF(SUM(COUNTIF(BAIXADA!B:B,A127),COUNTIF(NORTE!B:B,A127),COUNTIF(SUL!B:B,A127))&gt;0,"CIVIS",
IF(COUNTIF(CONTIGENCIA!B:B,A127)&gt;0,"CONTINGENCIA",IF(COUNTIF(ESPECIAIS!B:B,A127)&gt;0,"ESPECIAIS",""))))</f>
        <v>CIVIS</v>
      </c>
    </row>
    <row r="128" spans="1:6" x14ac:dyDescent="0.25">
      <c r="A128" s="24" t="s">
        <v>341</v>
      </c>
      <c r="B128" s="90" t="str">
        <f t="shared" ca="1" si="6"/>
        <v>JEHNIFFER PIRES</v>
      </c>
      <c r="C128" s="90" t="str">
        <f t="shared" ca="1" si="7"/>
        <v>NORTE</v>
      </c>
      <c r="D128" s="83"/>
      <c r="E128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28" s="83" t="str">
        <f>UPPER(IF(SUM(COUNTIF(BAIXADA!B:B,A128),COUNTIF(NORTE!B:B,A128),COUNTIF(SUL!B:B,A128))&gt;0,"CIVIS",
IF(COUNTIF(CONTIGENCIA!B:B,A128)&gt;0,"CONTINGENCIA",IF(COUNTIF(ESPECIAIS!B:B,A128)&gt;0,"ESPECIAIS",""))))</f>
        <v>CIVIS</v>
      </c>
    </row>
    <row r="129" spans="1:6" x14ac:dyDescent="0.25">
      <c r="A129" s="24" t="s">
        <v>343</v>
      </c>
      <c r="B129" s="90" t="str">
        <f t="shared" ca="1" si="6"/>
        <v>ERICK HYLARIO</v>
      </c>
      <c r="C129" s="90" t="str">
        <f t="shared" ca="1" si="7"/>
        <v>ESPECIAIS</v>
      </c>
      <c r="D129" s="83"/>
      <c r="E129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29" s="83" t="str">
        <f>UPPER(IF(SUM(COUNTIF(BAIXADA!B:B,A129),COUNTIF(NORTE!B:B,A129),COUNTIF(SUL!B:B,A129))&gt;0,"CIVIS",
IF(COUNTIF(CONTIGENCIA!B:B,A129)&gt;0,"CONTINGENCIA",IF(COUNTIF(ESPECIAIS!B:B,A129)&gt;0,"ESPECIAIS",""))))</f>
        <v>ESPECIAIS</v>
      </c>
    </row>
    <row r="130" spans="1:6" x14ac:dyDescent="0.25">
      <c r="A130" s="24" t="s">
        <v>345</v>
      </c>
      <c r="B130" s="90" t="str">
        <f ca="1">UPPER(TRIM(UPPER(IFERROR(VLOOKUP(A130,INDIRECT("'BAIXADA'!$B$3:$I$51"),3,FALSE),
IFERROR(VLOOKUP(A130,INDIRECT("'NORTE'!$B$3:$I$21"),3,FALSE),
IFERROR(VLOOKUP(A130,INDIRECT("'SUL'!$B$3:$I$31"),3,FALSE),
IFERROR(VLOOKUP(A130,INDIRECT("'CONTIGENCIA'!$B$3:$I$22"),3,FALSE),
IFERROR(VLOOKUP(A130,INDIRECT("'ESPECIAIS'!$B$3:$I$27"),3,FALSE),""))))))))</f>
        <v>GISELLE G. FONSECA</v>
      </c>
      <c r="C130" s="90" t="str">
        <f ca="1">IF(OR(B130="CARLOS FERNANDES", B130="GISELLE G. FONSECA"), "BAIXADA",
 IF(OR(B130="ISADORA ROSALINO", B130="JEHNIFFER PIRES"), "NORTE",
 IF(OR(B130="LUIZ FILHO", B130="MARCUS", B130="JAQUELINE PASTÓRIO"), "SUL",
 IF(OR(B130="AIMAR FILHO", B130="ERICK HYLARIO", B130="IGOR CARNEIRO", B130="CESAR", B130="DANRLEI"), "ESPECIAIS",""))))</f>
        <v>BAIXADA</v>
      </c>
      <c r="D130" s="83"/>
      <c r="E130" s="83" t="str">
        <f>UPPER(TRIM(IFERROR(VLOOKUP(TBL_AUX_COMISSAO[[#This Row],[SEI]], TBL_BAIXADA[[SEI]:[STATUS]],4,FALSE),
 IFERROR(VLOOKUP(TBL_AUX_COMISSAO[[#This Row],[SEI]], Tabela2[[SEI]:[STATUS]],4,FALSE),
 IFERROR(VLOOKUP(TBL_AUX_COMISSAO[[#This Row],[SEI]], Tabela3[[SEI]:[STATUS]],4,FALSE),
 IFERROR(VLOOKUP(TBL_AUX_COMISSAO[[#This Row],[SEI]], Tabela59[[SEI]:[STATUS]],4,FALSE),
 IFERROR(VLOOKUP(TBL_AUX_COMISSAO[[#This Row],[SEI]], Tabela5[[SEI]:[STATUS]],4,FALSE),"Valor não encontrado")))))))</f>
        <v>EXECUÇÃO</v>
      </c>
      <c r="F130" s="83" t="str">
        <f>UPPER(IF(SUM(COUNTIF(BAIXADA!B:B,A130),COUNTIF(NORTE!B:B,A130),COUNTIF(SUL!B:B,A130))&gt;0,"CIVIS",
IF(COUNTIF(CONTIGENCIA!B:B,A130)&gt;0,"CONTINGENCIA",IF(COUNTIF(ESPECIAIS!B:B,A130)&gt;0,"ESPECIAIS",""))))</f>
        <v>CONTINGENCIA</v>
      </c>
    </row>
  </sheetData>
  <phoneticPr fontId="26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3</vt:i4>
      </vt:variant>
    </vt:vector>
  </HeadingPairs>
  <TitlesOfParts>
    <vt:vector size="9" baseType="lpstr">
      <vt:lpstr>BAIXADA</vt:lpstr>
      <vt:lpstr>NORTE</vt:lpstr>
      <vt:lpstr>SUL</vt:lpstr>
      <vt:lpstr>CONTIGENCIA</vt:lpstr>
      <vt:lpstr>ESPECIAIS</vt:lpstr>
      <vt:lpstr>AUXILIAR</vt:lpstr>
      <vt:lpstr>BAIXADA!Area_de_impressao</vt:lpstr>
      <vt:lpstr>NORTE!Area_de_impressao</vt:lpstr>
      <vt:lpstr>SUL!Area_de_impressao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Filho</dc:creator>
  <cp:lastModifiedBy>Flavio</cp:lastModifiedBy>
  <cp:lastPrinted>2025-12-11T15:36:29Z</cp:lastPrinted>
  <dcterms:created xsi:type="dcterms:W3CDTF">2024-05-17T11:49:50Z</dcterms:created>
  <dcterms:modified xsi:type="dcterms:W3CDTF">2026-03-05T19:42:34Z</dcterms:modified>
</cp:coreProperties>
</file>