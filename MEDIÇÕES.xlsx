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D:\APRENDIZADO APP\MEDIÇÕES\"/>
    </mc:Choice>
  </mc:AlternateContent>
  <xr:revisionPtr revIDLastSave="0" documentId="13_ncr:1_{9DC39BC5-533F-434D-81E9-E6BFD27D4E96}" xr6:coauthVersionLast="47" xr6:coauthVersionMax="47" xr10:uidLastSave="{00000000-0000-0000-0000-000000000000}"/>
  <bookViews>
    <workbookView xWindow="-28920" yWindow="-120" windowWidth="29040" windowHeight="15720" xr2:uid="{56152BF8-9B58-491A-9484-9CF756169AE9}"/>
  </bookViews>
  <sheets>
    <sheet name="Medições" sheetId="1" r:id="rId1"/>
  </sheets>
  <externalReferences>
    <externalReference r:id="rId2"/>
  </externalReferences>
  <definedNames>
    <definedName name="HELLO" comment="Returns a greeting">_xlfn.LAMBDA(_xlpm.name, _xldudf_BOARDFLARE_EXEC("hello",_xlpm.name))</definedName>
    <definedName name="RNG_COMISSAO">OFFSET([1]AUXILIAR!#REF!,0,0,COUNTA([1]AUXILIAR!#REF!)-1,1)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" i="1" l="1"/>
</calcChain>
</file>

<file path=xl/sharedStrings.xml><?xml version="1.0" encoding="utf-8"?>
<sst xmlns="http://schemas.openxmlformats.org/spreadsheetml/2006/main" count="1195" uniqueCount="400">
  <si>
    <t>Nº</t>
  </si>
  <si>
    <t>SEI</t>
  </si>
  <si>
    <t>LOCAL</t>
  </si>
  <si>
    <t>PRAZO
EXECUÇÃO</t>
  </si>
  <si>
    <t>ORDEM
DE INÍCIO</t>
  </si>
  <si>
    <t>DATA FINAL</t>
  </si>
  <si>
    <t>VLR.CONTRATO
C/ADITIVO</t>
  </si>
  <si>
    <t>STATUS</t>
  </si>
  <si>
    <t>GESTOR</t>
  </si>
  <si>
    <t>REGIÃO</t>
  </si>
  <si>
    <t>MUNICIPIO</t>
  </si>
  <si>
    <t>CONTRATADA</t>
  </si>
  <si>
    <t>MEDIÇÕES 2025</t>
  </si>
  <si>
    <t>MEDIÇÕES
ACUMULADAS</t>
  </si>
  <si>
    <t>% EXEC.</t>
  </si>
  <si>
    <t>SALDO DO
CONTRATO</t>
  </si>
  <si>
    <t>JAN/21</t>
  </si>
  <si>
    <t>FEV/21</t>
  </si>
  <si>
    <t>MAR/21</t>
  </si>
  <si>
    <t>ABR/21</t>
  </si>
  <si>
    <t>MAI/21</t>
  </si>
  <si>
    <t>JUN/21</t>
  </si>
  <si>
    <t>JUL/21</t>
  </si>
  <si>
    <t>AGO/21</t>
  </si>
  <si>
    <t>SET/21</t>
  </si>
  <si>
    <t>OUT/21</t>
  </si>
  <si>
    <t>NOV/21</t>
  </si>
  <si>
    <t>DEZ/21</t>
  </si>
  <si>
    <t>JAN/22</t>
  </si>
  <si>
    <t>FEV/22</t>
  </si>
  <si>
    <t>MAR/22</t>
  </si>
  <si>
    <t>ABR/22</t>
  </si>
  <si>
    <t>MAI/22</t>
  </si>
  <si>
    <t>JUN/22</t>
  </si>
  <si>
    <t>JUL/22</t>
  </si>
  <si>
    <t>AGO/22</t>
  </si>
  <si>
    <t>SET/22</t>
  </si>
  <si>
    <t>OUT/22</t>
  </si>
  <si>
    <t>NOV/22</t>
  </si>
  <si>
    <t>DEZ/22</t>
  </si>
  <si>
    <t>JAN/23</t>
  </si>
  <si>
    <t>FEV/23</t>
  </si>
  <si>
    <t>MAR/23</t>
  </si>
  <si>
    <t>ABR/23</t>
  </si>
  <si>
    <t>MAI/23</t>
  </si>
  <si>
    <t>JUN/23</t>
  </si>
  <si>
    <t>JUL/23</t>
  </si>
  <si>
    <t>AGO/23</t>
  </si>
  <si>
    <t>SET/23</t>
  </si>
  <si>
    <t>OUT/23</t>
  </si>
  <si>
    <t>NOV/23</t>
  </si>
  <si>
    <t>DEZ/23</t>
  </si>
  <si>
    <t>JAN/24</t>
  </si>
  <si>
    <t>FEV/24</t>
  </si>
  <si>
    <t>MAR/24</t>
  </si>
  <si>
    <t>ABR/24</t>
  </si>
  <si>
    <t>MAI/24</t>
  </si>
  <si>
    <t>JUN/24</t>
  </si>
  <si>
    <t>JUL/24</t>
  </si>
  <si>
    <t>AGO/24</t>
  </si>
  <si>
    <t>SET/24</t>
  </si>
  <si>
    <t>OUT/24</t>
  </si>
  <si>
    <t>NOV/24</t>
  </si>
  <si>
    <t>DEZ/24</t>
  </si>
  <si>
    <t>JAN/25</t>
  </si>
  <si>
    <t>FEV/25</t>
  </si>
  <si>
    <t>MAR/25</t>
  </si>
  <si>
    <t>ABR/25</t>
  </si>
  <si>
    <t>MAI/25</t>
  </si>
  <si>
    <t>JUN/25</t>
  </si>
  <si>
    <t>JUL/25</t>
  </si>
  <si>
    <t>AGO/25</t>
  </si>
  <si>
    <t>SET/25</t>
  </si>
  <si>
    <t>OUT/25</t>
  </si>
  <si>
    <t>NOV/25</t>
  </si>
  <si>
    <t>DEZ/25</t>
  </si>
  <si>
    <t>330018/000053/2023</t>
  </si>
  <si>
    <t>CIVIS</t>
  </si>
  <si>
    <t>EXECUÇÃO</t>
  </si>
  <si>
    <t>JAQUELINE PASTÓRIO</t>
  </si>
  <si>
    <t>SL</t>
  </si>
  <si>
    <t>Barra Mansa</t>
  </si>
  <si>
    <t>ABRE CONST.</t>
  </si>
  <si>
    <t>330018/000695/2021</t>
  </si>
  <si>
    <t>ISADORA COSTA G. ROSALINO</t>
  </si>
  <si>
    <t>NT</t>
  </si>
  <si>
    <t>Campos dos Goytacazes</t>
  </si>
  <si>
    <t>ACA</t>
  </si>
  <si>
    <t>330018/001025/2021</t>
  </si>
  <si>
    <t>CARLOS FERNANDES</t>
  </si>
  <si>
    <t>BX</t>
  </si>
  <si>
    <t>Duque de Caxias</t>
  </si>
  <si>
    <t>330001/001080/2025</t>
  </si>
  <si>
    <t>Barra do Piraí</t>
  </si>
  <si>
    <t>AXIAL</t>
  </si>
  <si>
    <t>330001/001441/2024</t>
  </si>
  <si>
    <t>Mangaratiba</t>
  </si>
  <si>
    <t>330018/000190/2022</t>
  </si>
  <si>
    <t>CONCLUÍDA</t>
  </si>
  <si>
    <t>GISELLE GONÇALVES DA FONSECA</t>
  </si>
  <si>
    <t>BRASFORM</t>
  </si>
  <si>
    <t>330018/000568/2021</t>
  </si>
  <si>
    <t>LUIZ CARLOS DA SILVA FILHO</t>
  </si>
  <si>
    <t>Japeri</t>
  </si>
  <si>
    <t>CMAX</t>
  </si>
  <si>
    <t>330018/000567/2021</t>
  </si>
  <si>
    <t>330018/000697/2021</t>
  </si>
  <si>
    <t>Rio Claro</t>
  </si>
  <si>
    <t>330018/000699/2021</t>
  </si>
  <si>
    <t>330018/000737/2022</t>
  </si>
  <si>
    <t>Mendes</t>
  </si>
  <si>
    <t>CMHR</t>
  </si>
  <si>
    <t>330018/000931/2021</t>
  </si>
  <si>
    <t>Porto Real</t>
  </si>
  <si>
    <t>COMAL</t>
  </si>
  <si>
    <t>170026/002680/2021</t>
  </si>
  <si>
    <t>Quatis</t>
  </si>
  <si>
    <t>330018/000732/2021</t>
  </si>
  <si>
    <t>Resende</t>
  </si>
  <si>
    <t>330018/000052/2022</t>
  </si>
  <si>
    <t>NÃO CONCLUÍDA</t>
  </si>
  <si>
    <t>CONE ENGENHARIA</t>
  </si>
  <si>
    <t>330018/001070/2021</t>
  </si>
  <si>
    <t>São Francisco de Itabapoana</t>
  </si>
  <si>
    <t>CONPLAN</t>
  </si>
  <si>
    <t>330018/000658/2022</t>
  </si>
  <si>
    <t>JEHNIFFER PIRES DE SOUZA BERLAMINO</t>
  </si>
  <si>
    <t>São Sebastião do Alto</t>
  </si>
  <si>
    <t>330018/000696/2021</t>
  </si>
  <si>
    <t>CONS. NOVO MUNDO</t>
  </si>
  <si>
    <t>330018/000619/2021</t>
  </si>
  <si>
    <t>CONS.PARQUE SARAIVA</t>
  </si>
  <si>
    <t>170026/000538/2022</t>
  </si>
  <si>
    <t>Petrópolis</t>
  </si>
  <si>
    <t>CONSÓRCIO ECONORTE GEOSONDA - CASTELÃNEA - PETROPOLIS ( ECONORTE, MEIO AMBIENTE, INFRAESTRUTURA E SERVIÇO LTDA E GEOSONDA S/A)</t>
  </si>
  <si>
    <t>170026/002777/2021</t>
  </si>
  <si>
    <t>CONSÓRCIO SÃO JOSÉ HM ( HYDRA ENGENHARIA E SANEAMENTO LTDA E CONSTRUTORA MEDEIROS CARVALHO DE ALMEIDA LTDA)</t>
  </si>
  <si>
    <t>330018/000425/2022</t>
  </si>
  <si>
    <t>Paty do Alferes</t>
  </si>
  <si>
    <t>CONSORCIO VALPLAT CONSTRUCOES E START CONSULTORIA</t>
  </si>
  <si>
    <t>330018/000085/2022</t>
  </si>
  <si>
    <t>Itaperuna</t>
  </si>
  <si>
    <t>CONSTRUSAN</t>
  </si>
  <si>
    <t>330018/000227/2022</t>
  </si>
  <si>
    <t>CONSTRUTEC</t>
  </si>
  <si>
    <t>330018/001303/2022</t>
  </si>
  <si>
    <t>Nova Iguaçu</t>
  </si>
  <si>
    <t>330001/001282/2024</t>
  </si>
  <si>
    <t>Nilópolis</t>
  </si>
  <si>
    <t>CTESA</t>
  </si>
  <si>
    <t>330018/000480/2022</t>
  </si>
  <si>
    <t>São José de Ubá</t>
  </si>
  <si>
    <t>170026/002017/2021</t>
  </si>
  <si>
    <t>DE SÁ</t>
  </si>
  <si>
    <t>170026/000230/2022</t>
  </si>
  <si>
    <t>DRATEC</t>
  </si>
  <si>
    <t>460001/002050/2023</t>
  </si>
  <si>
    <t>Pinheiral</t>
  </si>
  <si>
    <t>ERWIL</t>
  </si>
  <si>
    <t>330001/001344/2025</t>
  </si>
  <si>
    <t>MT</t>
  </si>
  <si>
    <t>Rio de Janeiro</t>
  </si>
  <si>
    <t>FAB MIX</t>
  </si>
  <si>
    <t>330018/000066/2022</t>
  </si>
  <si>
    <t>Comendador Levy Gasparian</t>
  </si>
  <si>
    <t>FARO</t>
  </si>
  <si>
    <t>330018/000244/2022</t>
  </si>
  <si>
    <t>Valença</t>
  </si>
  <si>
    <t>330018/001380/2022</t>
  </si>
  <si>
    <t>Iguaba Grande</t>
  </si>
  <si>
    <t>FLUMINENSE</t>
  </si>
  <si>
    <t>170026/001611/2020</t>
  </si>
  <si>
    <t>GONÇALVES NEVES</t>
  </si>
  <si>
    <t>330018/000333/2022</t>
  </si>
  <si>
    <t>Magé</t>
  </si>
  <si>
    <t>GRAVISA</t>
  </si>
  <si>
    <t>170026/000772/2022</t>
  </si>
  <si>
    <t>Queimados</t>
  </si>
  <si>
    <t>GRUPO MACIEL</t>
  </si>
  <si>
    <t>330001/000715/2024</t>
  </si>
  <si>
    <t>H J RODRIGUES</t>
  </si>
  <si>
    <t>170026/000122/2022</t>
  </si>
  <si>
    <t>Paraíba do Sul</t>
  </si>
  <si>
    <t>330018/001015/2022</t>
  </si>
  <si>
    <t>330018/001076/2021</t>
  </si>
  <si>
    <t>HYDRA</t>
  </si>
  <si>
    <t>E-17/001/2008/2014</t>
  </si>
  <si>
    <t>330018/001315/2022</t>
  </si>
  <si>
    <t>330018/001054/2021</t>
  </si>
  <si>
    <t>330018/000694/2021</t>
  </si>
  <si>
    <t>IMBEG</t>
  </si>
  <si>
    <t>170026/001641/2021</t>
  </si>
  <si>
    <t>Rio das Flores</t>
  </si>
  <si>
    <t>JKN</t>
  </si>
  <si>
    <t>170026/001792/2021</t>
  </si>
  <si>
    <t>Teresópolis</t>
  </si>
  <si>
    <t>170026/002217/2021</t>
  </si>
  <si>
    <t>Macaé</t>
  </si>
  <si>
    <t>KROFMAN COMERCIO SERVIÇO EIRELI ME</t>
  </si>
  <si>
    <t>170026/003250/2021</t>
  </si>
  <si>
    <t>LYTORÂNEA</t>
  </si>
  <si>
    <t>330018/000930/2021</t>
  </si>
  <si>
    <t>Casimiro de Abreu</t>
  </si>
  <si>
    <t>460001/000821/2023</t>
  </si>
  <si>
    <t>170026/000318/2022</t>
  </si>
  <si>
    <t>330018/001440/2022</t>
  </si>
  <si>
    <t>Miguel Pereira</t>
  </si>
  <si>
    <t>330018/001141/2022</t>
  </si>
  <si>
    <t>330001/002122/2024</t>
  </si>
  <si>
    <t>330018/000843/2021</t>
  </si>
  <si>
    <t>São João de Meriti</t>
  </si>
  <si>
    <t>330018/001087/2021</t>
  </si>
  <si>
    <t>MACADAME</t>
  </si>
  <si>
    <t>330018/000156/2022</t>
  </si>
  <si>
    <t>MECANORTE</t>
  </si>
  <si>
    <t>170026/002043/2021</t>
  </si>
  <si>
    <t>METROPOLITANA</t>
  </si>
  <si>
    <t>330018/000630/2021</t>
  </si>
  <si>
    <t>Volta Redonda</t>
  </si>
  <si>
    <t>170026/001908/2021</t>
  </si>
  <si>
    <t>MIDAS</t>
  </si>
  <si>
    <t>330018/001363/2022</t>
  </si>
  <si>
    <t>MJRE</t>
  </si>
  <si>
    <t>330018/000711/2021</t>
  </si>
  <si>
    <t>330018/000730/2021</t>
  </si>
  <si>
    <t>MONJARDIM</t>
  </si>
  <si>
    <t>170026/001967/2021</t>
  </si>
  <si>
    <t>NF COMERCIO</t>
  </si>
  <si>
    <t>170026/003264/2021</t>
  </si>
  <si>
    <t>Araruama</t>
  </si>
  <si>
    <t>OMEGA</t>
  </si>
  <si>
    <t>330018/001041/2021</t>
  </si>
  <si>
    <t>460001/000827/2023</t>
  </si>
  <si>
    <t>330018/000107/2022</t>
  </si>
  <si>
    <t>ORIENTE</t>
  </si>
  <si>
    <t>330018/000530/2022</t>
  </si>
  <si>
    <t>170026/001772/2022</t>
  </si>
  <si>
    <t>Conceição de Macabu</t>
  </si>
  <si>
    <t>PETROPUMP</t>
  </si>
  <si>
    <t>170026/001837/2022</t>
  </si>
  <si>
    <t>330001/000538/2024</t>
  </si>
  <si>
    <t>PLENAPLAN</t>
  </si>
  <si>
    <t>460001/001990/2023</t>
  </si>
  <si>
    <t>Cardoso Moreira</t>
  </si>
  <si>
    <t>PREST RIO</t>
  </si>
  <si>
    <t>170026/002183/2021</t>
  </si>
  <si>
    <t>RC VIEIRA</t>
  </si>
  <si>
    <t>330001/001680/2024</t>
  </si>
  <si>
    <t>RITTA ENGENHARIA</t>
  </si>
  <si>
    <t>330018/000529/2022</t>
  </si>
  <si>
    <t>SANTA LUZIA</t>
  </si>
  <si>
    <t>330018/000569/2021</t>
  </si>
  <si>
    <t>330018/000681/2021</t>
  </si>
  <si>
    <t>170026/001548/2021</t>
  </si>
  <si>
    <t>SÃO JOÃO</t>
  </si>
  <si>
    <t>330018/000887/2022</t>
  </si>
  <si>
    <t>Belford Roxo</t>
  </si>
  <si>
    <t>SELL</t>
  </si>
  <si>
    <t>330018/001213/2022</t>
  </si>
  <si>
    <t>330018/000982/2021</t>
  </si>
  <si>
    <t>Nova Friburgo</t>
  </si>
  <si>
    <t>SOLOTESTE</t>
  </si>
  <si>
    <t>330018/000748/2022</t>
  </si>
  <si>
    <t>STATLED</t>
  </si>
  <si>
    <t>330018/001109/2022</t>
  </si>
  <si>
    <t>330018/001148/2022</t>
  </si>
  <si>
    <t>330018/000675/2022</t>
  </si>
  <si>
    <t>330018/001159/2022</t>
  </si>
  <si>
    <t>330018/001392/2022</t>
  </si>
  <si>
    <t>330018/001062/2022</t>
  </si>
  <si>
    <t>STATLED BRASIL</t>
  </si>
  <si>
    <t>330018/000960/2021</t>
  </si>
  <si>
    <t>VALLE SUL</t>
  </si>
  <si>
    <t>330018/001069/2021</t>
  </si>
  <si>
    <t>330018/000698/2021</t>
  </si>
  <si>
    <t>330018/000421/2023</t>
  </si>
  <si>
    <t>CONTINGENCIA</t>
  </si>
  <si>
    <t>ECONORTE</t>
  </si>
  <si>
    <t>330018/000245/2022</t>
  </si>
  <si>
    <t>Rio Bonito</t>
  </si>
  <si>
    <t>ENEX</t>
  </si>
  <si>
    <t>330001/001275/2024</t>
  </si>
  <si>
    <t>MARENGE ENGENHARIA CONSTRUCOES E SERVICOS LTDA</t>
  </si>
  <si>
    <t>330001/001217/2024</t>
  </si>
  <si>
    <t>MENDES KLABIN</t>
  </si>
  <si>
    <t>330001/001278/2024</t>
  </si>
  <si>
    <t>330001/001280/2024</t>
  </si>
  <si>
    <t>330001/001081/2025</t>
  </si>
  <si>
    <t>SUSPENSA</t>
  </si>
  <si>
    <t>SOLVE CONSULTORIA E PROJETOS LTDA</t>
  </si>
  <si>
    <t>E-17/001/219/2018</t>
  </si>
  <si>
    <t>Bom Jardim</t>
  </si>
  <si>
    <t>SOPE ENG.</t>
  </si>
  <si>
    <t>390005/000096/2021</t>
  </si>
  <si>
    <t>ESPECIAIS</t>
  </si>
  <si>
    <t>MARCUS</t>
  </si>
  <si>
    <t>ABBM BRAGA</t>
  </si>
  <si>
    <t>170026/001374/2022</t>
  </si>
  <si>
    <t>Angra dos Reis</t>
  </si>
  <si>
    <t>BARRA NOVA</t>
  </si>
  <si>
    <t>170026/000277/2021</t>
  </si>
  <si>
    <t>IGOR MARTINS CARNEIRO</t>
  </si>
  <si>
    <t>CARLETTI</t>
  </si>
  <si>
    <t>170026/000821/2021</t>
  </si>
  <si>
    <t>E-17/026/903/2019</t>
  </si>
  <si>
    <t>150001/012862/2022</t>
  </si>
  <si>
    <t>AIMAR HEVIA DO VALLE FILHO</t>
  </si>
  <si>
    <t>CONCREJATO</t>
  </si>
  <si>
    <t>330001/000097/2024</t>
  </si>
  <si>
    <t>ERICK HYLARIO SABADIN DA SILVA</t>
  </si>
  <si>
    <t>CONSÓRCIO COPACABANA R2X/TANGRAN (CONSTRUTORA R2X E TANGRAN ENGENHARIA)</t>
  </si>
  <si>
    <t>460001/001918/2023</t>
  </si>
  <si>
    <t>CONSORCIO FACHADA MIS R2X/TANGRAN (CONSTRUTORA R2X E TANGRAN ENGENHARIA)</t>
  </si>
  <si>
    <t>180007/000770/2022</t>
  </si>
  <si>
    <t>CONSTRUPOWER</t>
  </si>
  <si>
    <t>460001/000251/2023</t>
  </si>
  <si>
    <t>DRV ENG.</t>
  </si>
  <si>
    <t>170026/001228/2022</t>
  </si>
  <si>
    <t>460001/000779/2023</t>
  </si>
  <si>
    <t>ENGEPRAT</t>
  </si>
  <si>
    <t>330001/000247/2025</t>
  </si>
  <si>
    <t>170026/000233/2022</t>
  </si>
  <si>
    <t>MPE</t>
  </si>
  <si>
    <t>330001/000414/2024</t>
  </si>
  <si>
    <t>170026/001756/2021</t>
  </si>
  <si>
    <t>170026/001757/2021</t>
  </si>
  <si>
    <t>460001/000416/2023</t>
  </si>
  <si>
    <t>330018/000566/2021</t>
  </si>
  <si>
    <t>330018/000981/2021</t>
  </si>
  <si>
    <t>170026/003470/2021</t>
  </si>
  <si>
    <t>E-17/026/1514/2019</t>
  </si>
  <si>
    <t>VCE PROJETOS</t>
  </si>
  <si>
    <t>170026/001549/2020</t>
  </si>
  <si>
    <t>Fora do Radar</t>
  </si>
  <si>
    <t>330018/000423/2021</t>
  </si>
  <si>
    <t>330018/000424/2021</t>
  </si>
  <si>
    <t>170026/001229/2022</t>
  </si>
  <si>
    <t>170026/000549/2022</t>
  </si>
  <si>
    <t>E-17/026/1892/2019-1</t>
  </si>
  <si>
    <t>BIG FARM</t>
  </si>
  <si>
    <t>170026/001178/2021</t>
  </si>
  <si>
    <t>Engenheiro Paulo de Frontin</t>
  </si>
  <si>
    <t>COLONIA ARQUITETURA</t>
  </si>
  <si>
    <t>330018/001037/2021</t>
  </si>
  <si>
    <t>170026/001763/2021</t>
  </si>
  <si>
    <t>COMPASSS</t>
  </si>
  <si>
    <t>330001/001337/2025</t>
  </si>
  <si>
    <t>CONSÓRCIO EMERGÊNCIA QUITANDINHA (DRV ENGENHARIA - EIRELI e GEOLOGUS ENGENHARIA LTDA)</t>
  </si>
  <si>
    <t>170026/002128/2021</t>
  </si>
  <si>
    <t>CONST. AVENIDA</t>
  </si>
  <si>
    <t>170026/000539/2022</t>
  </si>
  <si>
    <t>CONST.SOLIDUM</t>
  </si>
  <si>
    <t>170026/001072/2022</t>
  </si>
  <si>
    <t>COORDENA</t>
  </si>
  <si>
    <t>330018/000235/2020</t>
  </si>
  <si>
    <t>Itaboraí</t>
  </si>
  <si>
    <t>CRATER</t>
  </si>
  <si>
    <t>170026/002018/2021</t>
  </si>
  <si>
    <t>170026/001231/2022</t>
  </si>
  <si>
    <t>170026/000548/2022</t>
  </si>
  <si>
    <t>170026/000537/2022</t>
  </si>
  <si>
    <t>330001/001345/2025</t>
  </si>
  <si>
    <t>E-17/026/1892/2019-2</t>
  </si>
  <si>
    <t>170026/000545/2022</t>
  </si>
  <si>
    <t>GEOLOGUS</t>
  </si>
  <si>
    <t>170026/000379/2022</t>
  </si>
  <si>
    <t>GEOMECANICA</t>
  </si>
  <si>
    <t>170026/001848/2022</t>
  </si>
  <si>
    <t>GEOSONDA</t>
  </si>
  <si>
    <t>330018/001071/2021</t>
  </si>
  <si>
    <t>330018/000221/2022</t>
  </si>
  <si>
    <t>330018/001108/2022</t>
  </si>
  <si>
    <t>330018/000580/2022</t>
  </si>
  <si>
    <t>MEDEIROS CIVIL</t>
  </si>
  <si>
    <t>330018/000559/2022</t>
  </si>
  <si>
    <t>São Pedro da Aldeia</t>
  </si>
  <si>
    <t>330018/001017/2021</t>
  </si>
  <si>
    <t>NOVACAP</t>
  </si>
  <si>
    <t>330018/000445/2023</t>
  </si>
  <si>
    <t>330018/000426/2021</t>
  </si>
  <si>
    <t>170026/000214/2022</t>
  </si>
  <si>
    <t>POMA</t>
  </si>
  <si>
    <t>170026/001812/2021</t>
  </si>
  <si>
    <t>PREMAG</t>
  </si>
  <si>
    <t>170026/001230/2022</t>
  </si>
  <si>
    <t>RIVALL ENG.</t>
  </si>
  <si>
    <t>170026/001865/2021</t>
  </si>
  <si>
    <t>330018/001077/2021</t>
  </si>
  <si>
    <t>330018/000712/2021</t>
  </si>
  <si>
    <t>E-17/001/81/2013</t>
  </si>
  <si>
    <t>SEVEME</t>
  </si>
  <si>
    <t>330018/001042/2021</t>
  </si>
  <si>
    <t>TOTAL CONST.</t>
  </si>
  <si>
    <t>170026/003834/2021</t>
  </si>
  <si>
    <t>Carmo</t>
  </si>
  <si>
    <t>VISION RIO</t>
  </si>
  <si>
    <t>170026/002388/2021</t>
  </si>
  <si>
    <t>WTE ENGENHARIA EIRELI</t>
  </si>
  <si>
    <t>170026/001303/2020</t>
  </si>
  <si>
    <t>170026/001868/2021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</si>
</sst>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&quot;R$&quot;\ * #,##0.00_-;_-&quot;R$&quot;\ * \-#,##0.00_-;_-&quot;R$&quot;\ 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E6E6E6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93CC99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337FFB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C6E0B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70C0"/>
      </left>
      <right style="thin">
        <color rgb="FF0070C0"/>
      </right>
      <top/>
      <bottom style="thin">
        <color rgb="FF0070C0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/>
      <diagonal/>
    </border>
    <border>
      <left/>
      <right style="thin">
        <color rgb="FF0070C0"/>
      </right>
      <top style="thin">
        <color rgb="FF0070C0"/>
      </top>
      <bottom/>
      <diagonal/>
    </border>
    <border>
      <left style="thin">
        <color rgb="FF0070C0"/>
      </left>
      <right/>
      <top style="thin">
        <color rgb="FF0070C0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6">
    <xf numFmtId="0" fontId="0" fillId="0" borderId="0" xfId="0"/>
    <xf numFmtId="49" fontId="3" fillId="2" borderId="1" xfId="0" applyNumberFormat="1" applyFont="1" applyFill="1" applyBorder="1" applyAlignment="1">
      <alignment horizontal="center" vertical="center" wrapText="1"/>
    </xf>
    <xf numFmtId="49" fontId="3" fillId="0" borderId="0" xfId="0" quotePrefix="1" applyNumberFormat="1" applyFont="1"/>
    <xf numFmtId="49" fontId="3" fillId="0" borderId="0" xfId="0" applyNumberFormat="1" applyFont="1"/>
    <xf numFmtId="1" fontId="0" fillId="0" borderId="2" xfId="0" applyNumberFormat="1" applyBorder="1"/>
    <xf numFmtId="0" fontId="0" fillId="0" borderId="3" xfId="0" applyBorder="1"/>
    <xf numFmtId="49" fontId="2" fillId="3" borderId="4" xfId="0" applyNumberFormat="1" applyFont="1" applyFill="1" applyBorder="1"/>
    <xf numFmtId="1" fontId="0" fillId="0" borderId="4" xfId="0" applyNumberFormat="1" applyBorder="1" applyAlignment="1">
      <alignment horizontal="center"/>
    </xf>
    <xf numFmtId="14" fontId="0" fillId="0" borderId="4" xfId="0" applyNumberFormat="1" applyBorder="1"/>
    <xf numFmtId="14" fontId="0" fillId="4" borderId="4" xfId="0" applyNumberFormat="1" applyFill="1" applyBorder="1"/>
    <xf numFmtId="164" fontId="0" fillId="0" borderId="4" xfId="0" applyNumberFormat="1" applyBorder="1"/>
    <xf numFmtId="49" fontId="0" fillId="0" borderId="4" xfId="0" applyNumberFormat="1" applyBorder="1"/>
    <xf numFmtId="49" fontId="0" fillId="5" borderId="4" xfId="0" applyNumberFormat="1" applyFill="1" applyBorder="1"/>
    <xf numFmtId="164" fontId="0" fillId="4" borderId="4" xfId="0" applyNumberFormat="1" applyFill="1" applyBorder="1"/>
    <xf numFmtId="10" fontId="0" fillId="0" borderId="4" xfId="0" applyNumberFormat="1" applyBorder="1"/>
    <xf numFmtId="49" fontId="0" fillId="0" borderId="5" xfId="0" applyNumberFormat="1" applyBorder="1"/>
    <xf numFmtId="1" fontId="0" fillId="0" borderId="4" xfId="0" applyNumberFormat="1" applyBorder="1"/>
    <xf numFmtId="49" fontId="0" fillId="6" borderId="4" xfId="0" applyNumberFormat="1" applyFill="1" applyBorder="1"/>
    <xf numFmtId="49" fontId="0" fillId="7" borderId="4" xfId="0" applyNumberFormat="1" applyFill="1" applyBorder="1"/>
    <xf numFmtId="49" fontId="0" fillId="8" borderId="4" xfId="0" applyNumberFormat="1" applyFill="1" applyBorder="1"/>
    <xf numFmtId="49" fontId="2" fillId="9" borderId="4" xfId="0" applyNumberFormat="1" applyFont="1" applyFill="1" applyBorder="1"/>
    <xf numFmtId="49" fontId="2" fillId="10" borderId="4" xfId="0" applyNumberFormat="1" applyFont="1" applyFill="1" applyBorder="1"/>
    <xf numFmtId="1" fontId="0" fillId="0" borderId="6" xfId="0" applyNumberFormat="1" applyBorder="1"/>
    <xf numFmtId="0" fontId="0" fillId="0" borderId="7" xfId="0" applyBorder="1"/>
    <xf numFmtId="49" fontId="0" fillId="0" borderId="6" xfId="0" applyNumberFormat="1" applyBorder="1"/>
    <xf numFmtId="1" fontId="0" fillId="0" borderId="6" xfId="0" applyNumberFormat="1" applyBorder="1" applyAlignment="1">
      <alignment horizontal="center"/>
    </xf>
    <xf numFmtId="14" fontId="0" fillId="0" borderId="6" xfId="0" applyNumberFormat="1" applyBorder="1"/>
    <xf numFmtId="14" fontId="0" fillId="4" borderId="6" xfId="0" applyNumberFormat="1" applyFill="1" applyBorder="1"/>
    <xf numFmtId="164" fontId="0" fillId="0" borderId="6" xfId="0" applyNumberFormat="1" applyBorder="1"/>
    <xf numFmtId="49" fontId="0" fillId="5" borderId="6" xfId="0" applyNumberFormat="1" applyFill="1" applyBorder="1"/>
    <xf numFmtId="164" fontId="0" fillId="4" borderId="6" xfId="0" applyNumberFormat="1" applyFill="1" applyBorder="1"/>
    <xf numFmtId="10" fontId="0" fillId="0" borderId="6" xfId="0" applyNumberFormat="1" applyBorder="1"/>
    <xf numFmtId="49" fontId="0" fillId="0" borderId="8" xfId="0" applyNumberFormat="1" applyBorder="1"/>
    <xf numFmtId="44" fontId="3" fillId="0" borderId="0" xfId="1" quotePrefix="1" applyFont="1"/>
    <xf numFmtId="44" fontId="0" fillId="0" borderId="5" xfId="1" applyFont="1" applyBorder="1"/>
    <xf numFmtId="44" fontId="0" fillId="0" borderId="0" xfId="1" applyFont="1"/>
  </cellXfs>
  <cellStyles count="2">
    <cellStyle name="Moeda" xfId="1" builtinId="4"/>
    <cellStyle name="Normal" xfId="0" builtinId="0"/>
  </cellStyles>
  <dxfs count="79">
    <dxf>
      <numFmt numFmtId="30" formatCode="@"/>
      <border diagonalUp="0" diagonalDown="0">
        <left style="thin">
          <color rgb="FF0070C0"/>
        </left>
        <right/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 outline="0">
        <left/>
        <right style="thin">
          <color rgb="FF0070C0"/>
        </right>
        <top style="thin">
          <color rgb="FF0070C0"/>
        </top>
        <bottom style="thin">
          <color rgb="FF0070C0"/>
        </bottom>
      </border>
    </dxf>
    <dxf>
      <numFmt numFmtId="164" formatCode="_-&quot;R$&quot;\ * #,##0.00_-;_-&quot;R$&quot;\ * \-#,##0.00_-;_-&quot;R$&quot;\ * &quot;-&quot;??_-;_-@_-"/>
      <fill>
        <patternFill patternType="solid">
          <fgColor indexed="64"/>
          <bgColor rgb="FFD9E1F2"/>
        </patternFill>
      </fill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</dxf>
    <dxf>
      <numFmt numFmtId="30" formatCode="@"/>
      <border diagonalUp="0" diagonalDown="0" outline="0">
        <left style="thin">
          <color rgb="FF0070C0"/>
        </left>
        <right/>
        <top style="thin">
          <color rgb="FF0070C0"/>
        </top>
        <bottom style="thin">
          <color rgb="FF0070C0"/>
        </bottom>
      </border>
    </dxf>
    <dxf>
      <numFmt numFmtId="30" formatCode="@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30" formatCode="@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30" formatCode="@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30" formatCode="@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164" formatCode="_-&quot;R$&quot;\ * #,##0.00_-;_-&quot;R$&quot;\ * \-#,##0.00_-;_-&quot;R$&quot;\ * &quot;-&quot;??_-;_-@_-"/>
      <border diagonalUp="0" diagonalDown="0" outline="0">
        <left/>
        <right style="thin">
          <color rgb="FF0070C0"/>
        </right>
        <top style="thin">
          <color rgb="FF0070C0"/>
        </top>
        <bottom style="thin">
          <color rgb="FF0070C0"/>
        </bottom>
      </border>
    </dxf>
    <dxf>
      <numFmt numFmtId="19" formatCode="dd/mm/yyyy"/>
      <fill>
        <patternFill patternType="solid">
          <fgColor indexed="64"/>
          <bgColor rgb="FFD9E1F2"/>
        </patternFill>
      </fill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</dxf>
    <dxf>
      <numFmt numFmtId="19" formatCode="dd/mm/yyyy"/>
      <border diagonalUp="0" diagonalDown="0" outline="0">
        <left style="thin">
          <color rgb="FF0070C0"/>
        </left>
        <right/>
        <top style="thin">
          <color rgb="FF0070C0"/>
        </top>
        <bottom style="thin">
          <color rgb="FF0070C0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numFmt numFmtId="30" formatCode="@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</dxf>
    <dxf>
      <numFmt numFmtId="1" formatCode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</dxf>
    <dxf>
      <border>
        <top style="thin">
          <color rgb="FF0070C0"/>
        </top>
      </border>
    </dxf>
    <dxf>
      <border diagonalUp="0" diagonalDown="0">
        <left style="medium">
          <color rgb="FF0070C0"/>
        </left>
        <right style="medium">
          <color rgb="FF0070C0"/>
        </right>
        <top style="medium">
          <color rgb="FF0070C0"/>
        </top>
        <bottom style="medium">
          <color rgb="FF0070C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30" formatCode="@"/>
      <fill>
        <patternFill patternType="none">
          <fgColor indexed="64"/>
          <bgColor rgb="FFE6F2FF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Desktop\MEDICOES.xlsm" TargetMode="External"/><Relationship Id="rId1" Type="http://schemas.openxmlformats.org/officeDocument/2006/relationships/externalLinkPath" Target="/Desktop/MEDICOE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NALITICA"/>
      <sheetName val="BASE"/>
      <sheetName val="AUXILIAR"/>
      <sheetName val="Medições"/>
      <sheetName val="PROBLEMAS"/>
    </sheetNames>
    <sheetDataSet>
      <sheetData sheetId="0"/>
      <sheetData sheetId="1"/>
      <sheetData sheetId="2"/>
      <sheetData sheetId="3"/>
      <sheetData sheetId="4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56704F-F6DE-410E-B44F-2C2F4F17089F}" name="Financeiro" displayName="Financeiro" ref="A2:BX168" totalsRowShown="0" headerRowDxfId="78" tableBorderDxfId="77" totalsRowBorderDxfId="76">
  <autoFilter ref="A2:BX168" xr:uid="{8AB3B578-2773-4E2D-975F-DA27809151D2}"/>
  <sortState xmlns:xlrd2="http://schemas.microsoft.com/office/spreadsheetml/2017/richdata2" ref="A3:BW168">
    <sortCondition ref="B2:B168"/>
  </sortState>
  <tableColumns count="76">
    <tableColumn id="76" xr3:uid="{A266B704-9A60-4C44-B1BC-BEDC4F668B27}" name="Nº" dataDxfId="75"/>
    <tableColumn id="1" xr3:uid="{03651AAF-2034-4979-AFCB-B5E6110B75DB}" name="SEI" dataDxfId="74"/>
    <tableColumn id="2" xr3:uid="{1AC04752-79A0-47F4-85A1-5AC51643A811}" name="LOCAL" dataDxfId="73"/>
    <tableColumn id="3" xr3:uid="{8CABF655-C15C-4E48-9514-435C7D577AD4}" name="PRAZO_x000a_EXECUÇÃO" dataDxfId="72"/>
    <tableColumn id="4" xr3:uid="{1F1CD60C-0B7F-4989-8CD6-3BC9E1009213}" name="ORDEM_x000a_DE INÍCIO" dataDxfId="71"/>
    <tableColumn id="5" xr3:uid="{9DA765F9-8594-4306-9AD9-47C47C23D21D}" name="DATA FINAL" dataDxfId="70"/>
    <tableColumn id="6" xr3:uid="{A12B462F-4262-45A9-969C-41A796C2BE78}" name="VLR.CONTRATO_x000a_C/ADITIVO" dataDxfId="69"/>
    <tableColumn id="7" xr3:uid="{C73A2493-CD4D-4C5A-A08F-2BCD27FCA88D}" name="STATUS" dataDxfId="68"/>
    <tableColumn id="8" xr3:uid="{50A6FB21-9086-4315-97B1-E1B17B453947}" name="GESTOR" dataDxfId="67"/>
    <tableColumn id="9" xr3:uid="{6E3546F9-DBF6-4EE2-9D82-58AF1B714E72}" name="REGIÃO" dataDxfId="66"/>
    <tableColumn id="10" xr3:uid="{20566611-997E-457D-BE39-442BF201CE7F}" name="MUNICIPIO" dataDxfId="65"/>
    <tableColumn id="11" xr3:uid="{6DFDA949-AAC5-44AC-907A-20E4F5542639}" name="CONTRATADA" dataDxfId="64"/>
    <tableColumn id="12" xr3:uid="{E18480E2-7DF5-4B18-9177-E685B384A0A7}" name="MEDIÇÕES 2025" dataDxfId="63"/>
    <tableColumn id="13" xr3:uid="{A00E890F-8399-4EBB-A365-C245C0D76289}" name="MEDIÇÕES_x000a_ACUMULADAS" dataDxfId="62"/>
    <tableColumn id="14" xr3:uid="{2427699D-D3E4-4769-BFC2-ADD58B7D3E54}" name="% EXEC." dataDxfId="61"/>
    <tableColumn id="15" xr3:uid="{4AEF10E9-FD39-4930-BD1D-6FE5C873561D}" name="SALDO DO_x000a_CONTRATO" dataDxfId="60"/>
    <tableColumn id="16" xr3:uid="{9D12E504-6A78-4A46-B8AA-B3BD3A956673}" name="JAN/21" dataDxfId="59"/>
    <tableColumn id="17" xr3:uid="{D22BDF60-AF2E-4FB1-AA68-CE33ACD76460}" name="FEV/21" dataDxfId="58"/>
    <tableColumn id="18" xr3:uid="{70DED9F4-6100-4123-883D-2918BBBCFFAB}" name="MAR/21" dataDxfId="57"/>
    <tableColumn id="19" xr3:uid="{E1D508BD-19ED-43BB-AC69-3F1932F7D938}" name="ABR/21" dataDxfId="56"/>
    <tableColumn id="20" xr3:uid="{E226CD32-F6E2-4F0A-9573-2314689C3D3A}" name="MAI/21" dataDxfId="55"/>
    <tableColumn id="21" xr3:uid="{808AFF31-84D5-4253-A517-8DE6C00CCFC6}" name="JUN/21" dataDxfId="54"/>
    <tableColumn id="22" xr3:uid="{B9BB8963-E930-4DEA-9308-7408BFC16E0C}" name="JUL/21" dataDxfId="53"/>
    <tableColumn id="23" xr3:uid="{8D7ADF9E-AD6E-4E65-81CF-647B05626398}" name="AGO/21" dataDxfId="52"/>
    <tableColumn id="24" xr3:uid="{D27BEB3A-22EF-4148-80BF-C0EB15439948}" name="SET/21" dataDxfId="51"/>
    <tableColumn id="25" xr3:uid="{D39DE8E3-3FD3-453A-8CCA-B593906BE310}" name="OUT/21" dataDxfId="50"/>
    <tableColumn id="26" xr3:uid="{AD097EF2-F171-4DE0-9DE9-CF82CFDF34E9}" name="NOV/21" dataDxfId="49"/>
    <tableColumn id="27" xr3:uid="{5D370E04-DAC4-40B1-B904-59F7E9FD9E1C}" name="DEZ/21" dataDxfId="48"/>
    <tableColumn id="28" xr3:uid="{20592D1D-9487-45B8-B8B8-4A05E7FEE241}" name="JAN/22" dataDxfId="47"/>
    <tableColumn id="29" xr3:uid="{C9812C68-D466-46B5-BA33-7F31C79D68F2}" name="FEV/22" dataDxfId="46"/>
    <tableColumn id="30" xr3:uid="{9BF8457F-8F83-4742-BFDF-770B9454ACD3}" name="MAR/22" dataDxfId="45"/>
    <tableColumn id="31" xr3:uid="{9FCFCEDC-4102-4409-AD49-37955F94ACE3}" name="ABR/22" dataDxfId="44"/>
    <tableColumn id="32" xr3:uid="{8064A6AE-91A2-4519-B88A-1D8E8E6778CF}" name="MAI/22" dataDxfId="43"/>
    <tableColumn id="33" xr3:uid="{E8CE4471-F023-4A1F-97EB-094C1434D364}" name="JUN/22" dataDxfId="42"/>
    <tableColumn id="34" xr3:uid="{326EF501-97EC-4991-B496-BC8E2EF10DBC}" name="JUL/22" dataDxfId="41"/>
    <tableColumn id="35" xr3:uid="{E75D2D09-F74D-4615-91A1-C87B0A954BD7}" name="AGO/22" dataDxfId="40"/>
    <tableColumn id="36" xr3:uid="{F5AC3B2C-5F92-477E-A7A5-0E159FE52074}" name="SET/22" dataDxfId="39"/>
    <tableColumn id="37" xr3:uid="{57DAF62E-7F0D-40A7-A5DD-20565AD276D0}" name="OUT/22" dataDxfId="38"/>
    <tableColumn id="38" xr3:uid="{3C321D64-624B-456D-A781-12CDA60AEC00}" name="NOV/22" dataDxfId="37"/>
    <tableColumn id="39" xr3:uid="{44CC1CBA-2E11-44F9-AB00-A99F261085DE}" name="DEZ/22" dataDxfId="36"/>
    <tableColumn id="40" xr3:uid="{7C45DF07-290C-4D76-86A4-6237B30B207F}" name="JAN/23" dataDxfId="35"/>
    <tableColumn id="41" xr3:uid="{0A2BA8C1-5BDF-434D-9255-D916CCCC2A03}" name="FEV/23" dataDxfId="34"/>
    <tableColumn id="42" xr3:uid="{16A84FA3-400A-4E51-98C8-A3EB65531C3C}" name="MAR/23" dataDxfId="33"/>
    <tableColumn id="43" xr3:uid="{5828C581-C95F-4F95-8EAE-BD8A8DBB9795}" name="ABR/23" dataDxfId="32"/>
    <tableColumn id="44" xr3:uid="{4636756C-49CE-47CE-B0C2-6B12D4AB98F3}" name="MAI/23" dataDxfId="31"/>
    <tableColumn id="45" xr3:uid="{A7C8FBD9-8243-46BB-BF88-8F97B10A6F7F}" name="JUN/23" dataDxfId="30"/>
    <tableColumn id="46" xr3:uid="{3602F624-CE96-4013-AE2F-E055447F1EC6}" name="JUL/23" dataDxfId="29"/>
    <tableColumn id="47" xr3:uid="{8C1296CC-F166-4CAD-8754-03A37C0C77B8}" name="AGO/23" dataDxfId="28"/>
    <tableColumn id="48" xr3:uid="{292483CB-B6D2-48AC-972A-2E44570FDF55}" name="SET/23" dataDxfId="27"/>
    <tableColumn id="49" xr3:uid="{D4E6D6C5-A9FE-487A-96B0-C812A3B8B560}" name="OUT/23" dataDxfId="26"/>
    <tableColumn id="50" xr3:uid="{A50AD4C6-47F0-4A7F-B7F0-C1E6B094BF46}" name="NOV/23" dataDxfId="25"/>
    <tableColumn id="51" xr3:uid="{86B6DC1F-54B6-4965-9235-0E054BCA0490}" name="DEZ/23" dataDxfId="24"/>
    <tableColumn id="52" xr3:uid="{EABB070E-A947-4F1C-B2D2-41414454D746}" name="JAN/24" dataDxfId="23"/>
    <tableColumn id="53" xr3:uid="{8BF4E443-C58E-4486-9E41-A612AABD2053}" name="FEV/24" dataDxfId="22"/>
    <tableColumn id="54" xr3:uid="{8FB0F1E4-C864-4970-A72E-FB32100EC13F}" name="MAR/24" dataDxfId="21"/>
    <tableColumn id="55" xr3:uid="{525C9C4A-02FE-4B51-BFE1-1C5B397787AF}" name="ABR/24" dataDxfId="20"/>
    <tableColumn id="56" xr3:uid="{9269BCAC-7EAD-4F34-982D-E7000D7428A4}" name="MAI/24" dataDxfId="19"/>
    <tableColumn id="57" xr3:uid="{244DAADC-580E-4E9D-A748-8373C12BC2E6}" name="JUN/24" dataDxfId="18"/>
    <tableColumn id="58" xr3:uid="{BD1409F1-D136-4352-820E-C70C71665B47}" name="JUL/24" dataDxfId="17"/>
    <tableColumn id="59" xr3:uid="{01F66802-42A7-4F5A-AAEC-A71CDC002BD8}" name="AGO/24" dataDxfId="16"/>
    <tableColumn id="60" xr3:uid="{0441C1E5-AC55-477D-9C4F-A05B4650AF71}" name="SET/24" dataDxfId="15"/>
    <tableColumn id="61" xr3:uid="{F65ACA26-E404-42CC-AC1F-9768A0F13A48}" name="OUT/24" dataDxfId="14"/>
    <tableColumn id="62" xr3:uid="{8611ED49-A2A6-4995-B54B-F2F3BAF4132C}" name="NOV/24" dataDxfId="13"/>
    <tableColumn id="63" xr3:uid="{D11D8641-E8DB-47D8-8ADC-FFC8A47FBC7B}" name="DEZ/24" dataDxfId="12"/>
    <tableColumn id="64" xr3:uid="{BA08A656-4477-4379-BF04-4B4DB1126A34}" name="JAN/25" dataDxfId="11"/>
    <tableColumn id="65" xr3:uid="{253D270C-A726-4E14-A061-B5D95DA4114A}" name="FEV/25" dataDxfId="10"/>
    <tableColumn id="66" xr3:uid="{4BFEB003-37B9-48A3-91A9-41D371616E0A}" name="MAR/25" dataDxfId="9"/>
    <tableColumn id="67" xr3:uid="{8B434ACD-283D-4F1A-A117-69075C9F6BE2}" name="ABR/25" dataDxfId="8"/>
    <tableColumn id="68" xr3:uid="{DF26B6DB-C911-4FC0-9D32-6B58BA7B805C}" name="MAI/25" dataDxfId="7"/>
    <tableColumn id="69" xr3:uid="{2117F07E-3026-4661-A04B-A81E7BE8122F}" name="JUN/25" dataDxfId="6"/>
    <tableColumn id="70" xr3:uid="{5E84EBCD-CCDB-4968-92DD-76AEDF05AFB2}" name="JUL/25" dataDxfId="5"/>
    <tableColumn id="71" xr3:uid="{A4DB40C1-A92B-40D7-8EA8-1CB8E2423542}" name="AGO/25" dataDxfId="4"/>
    <tableColumn id="72" xr3:uid="{61B1E890-7AA3-4A3F-A2F4-E8750D4B3985}" name="SET/25" dataDxfId="3"/>
    <tableColumn id="73" xr3:uid="{401C3219-D019-4B4A-BA33-6D89D0E50AFD}" name="OUT/25" dataDxfId="2"/>
    <tableColumn id="74" xr3:uid="{FE158E31-D6D5-4426-AD44-06649C628068}" name="NOV/25" dataDxfId="1"/>
    <tableColumn id="75" xr3:uid="{9BA5E780-C48A-400D-9E1B-DC3D25989B65}" name="DEZ/25" dataDxfId="0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02F89-4FEF-4537-BCA6-14FD7BC179C1}">
  <sheetPr codeName="Planilha10"/>
  <dimension ref="A1:BY168"/>
  <sheetViews>
    <sheetView tabSelected="1" topLeftCell="J2" workbookViewId="0">
      <selection activeCell="Q3" sqref="Q3:BX168"/>
    </sheetView>
  </sheetViews>
  <sheetFormatPr defaultRowHeight="15" x14ac:dyDescent="0.25"/>
  <cols>
    <col min="1" max="1" width="4.28515625" customWidth="1"/>
    <col min="2" max="2" width="18.140625" customWidth="1"/>
    <col min="3" max="3" width="15.28515625" customWidth="1"/>
    <col min="4" max="4" width="11" customWidth="1"/>
    <col min="5" max="5" width="10.42578125" customWidth="1"/>
    <col min="6" max="6" width="10.7109375" customWidth="1"/>
    <col min="7" max="7" width="17.7109375" customWidth="1"/>
    <col min="8" max="8" width="10.5703125" customWidth="1"/>
    <col min="9" max="9" width="36" bestFit="1" customWidth="1"/>
    <col min="10" max="10" width="8.42578125" customWidth="1"/>
    <col min="11" max="11" width="26.28515625" customWidth="1"/>
    <col min="12" max="12" width="18.28515625" customWidth="1"/>
    <col min="13" max="13" width="16.42578125" customWidth="1"/>
    <col min="14" max="14" width="19" customWidth="1"/>
    <col min="15" max="15" width="8.5703125" customWidth="1"/>
    <col min="16" max="16" width="16.85546875" customWidth="1"/>
    <col min="17" max="17" width="9.140625" customWidth="1"/>
    <col min="18" max="18" width="9.85546875" customWidth="1"/>
    <col min="19" max="19" width="9.42578125" customWidth="1"/>
    <col min="20" max="20" width="14.28515625" customWidth="1"/>
    <col min="21" max="21" width="9.28515625" customWidth="1"/>
    <col min="22" max="22" width="16.85546875" customWidth="1"/>
    <col min="23" max="23" width="9.85546875" customWidth="1"/>
    <col min="24" max="24" width="15.85546875" customWidth="1"/>
    <col min="25" max="25" width="9.5703125" customWidth="1"/>
    <col min="26" max="26" width="9.85546875" customWidth="1"/>
    <col min="27" max="27" width="9.42578125" customWidth="1"/>
    <col min="28" max="29" width="15.85546875" customWidth="1"/>
    <col min="30" max="30" width="9.85546875" customWidth="1"/>
    <col min="31" max="31" width="9.42578125" customWidth="1"/>
    <col min="32" max="32" width="15.85546875" customWidth="1"/>
    <col min="33" max="33" width="9.28515625" customWidth="1"/>
    <col min="34" max="34" width="15.85546875" customWidth="1"/>
    <col min="35" max="35" width="9.85546875" customWidth="1"/>
    <col min="36" max="36" width="16.85546875" customWidth="1"/>
    <col min="37" max="37" width="9.5703125" customWidth="1"/>
    <col min="38" max="38" width="9.85546875" customWidth="1"/>
    <col min="39" max="39" width="9.42578125" customWidth="1"/>
    <col min="40" max="41" width="16.85546875" customWidth="1"/>
    <col min="42" max="42" width="9.85546875" customWidth="1"/>
    <col min="43" max="43" width="9.42578125" customWidth="1"/>
    <col min="44" max="44" width="15.85546875" customWidth="1"/>
    <col min="45" max="45" width="9.28515625" customWidth="1"/>
    <col min="46" max="46" width="16.85546875" customWidth="1"/>
    <col min="47" max="47" width="9.85546875" customWidth="1"/>
    <col min="48" max="48" width="15.85546875" customWidth="1"/>
    <col min="49" max="49" width="9.5703125" customWidth="1"/>
    <col min="50" max="50" width="9.85546875" customWidth="1"/>
    <col min="51" max="51" width="9.42578125" customWidth="1"/>
    <col min="52" max="53" width="15.85546875" customWidth="1"/>
    <col min="54" max="54" width="9.85546875" customWidth="1"/>
    <col min="55" max="55" width="9.42578125" customWidth="1"/>
    <col min="56" max="56" width="15.85546875" customWidth="1"/>
    <col min="57" max="57" width="9.28515625" customWidth="1"/>
    <col min="58" max="58" width="15.85546875" customWidth="1"/>
    <col min="59" max="59" width="9.85546875" customWidth="1"/>
    <col min="60" max="60" width="16.85546875" customWidth="1"/>
    <col min="61" max="61" width="9.5703125" customWidth="1"/>
    <col min="62" max="62" width="9.85546875" customWidth="1"/>
    <col min="63" max="63" width="9.42578125" customWidth="1"/>
    <col min="64" max="64" width="16.5703125" customWidth="1"/>
    <col min="65" max="65" width="15.85546875" customWidth="1"/>
    <col min="66" max="66" width="9.85546875" customWidth="1"/>
    <col min="67" max="67" width="9.42578125" customWidth="1"/>
    <col min="68" max="68" width="16.85546875" customWidth="1"/>
    <col min="69" max="69" width="9.28515625" customWidth="1"/>
    <col min="70" max="70" width="15.85546875" customWidth="1"/>
    <col min="71" max="71" width="9.85546875" customWidth="1"/>
    <col min="72" max="72" width="16.85546875" customWidth="1"/>
    <col min="73" max="73" width="9.5703125" customWidth="1"/>
    <col min="74" max="74" width="9.85546875" customWidth="1"/>
    <col min="75" max="75" width="9.42578125" customWidth="1"/>
    <col min="76" max="76" width="16.85546875" style="35" bestFit="1" customWidth="1"/>
  </cols>
  <sheetData>
    <row r="1" spans="1:77" hidden="1" x14ac:dyDescent="0.25">
      <c r="F1">
        <f>SUBTOTAL(103,Financeiro[STATUS])</f>
        <v>166</v>
      </c>
      <c r="BX1"/>
    </row>
    <row r="2" spans="1:77" ht="33" customHeight="1" x14ac:dyDescent="0.2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  <c r="O2" s="1" t="s">
        <v>14</v>
      </c>
      <c r="P2" s="1" t="s">
        <v>15</v>
      </c>
      <c r="Q2" s="2" t="s">
        <v>16</v>
      </c>
      <c r="R2" s="2" t="s">
        <v>17</v>
      </c>
      <c r="S2" s="2" t="s">
        <v>18</v>
      </c>
      <c r="T2" s="2" t="s">
        <v>19</v>
      </c>
      <c r="U2" s="2" t="s">
        <v>20</v>
      </c>
      <c r="V2" s="2" t="s">
        <v>21</v>
      </c>
      <c r="W2" s="2" t="s">
        <v>22</v>
      </c>
      <c r="X2" s="2" t="s">
        <v>23</v>
      </c>
      <c r="Y2" s="2" t="s">
        <v>24</v>
      </c>
      <c r="Z2" s="2" t="s">
        <v>25</v>
      </c>
      <c r="AA2" s="2" t="s">
        <v>26</v>
      </c>
      <c r="AB2" s="2" t="s">
        <v>27</v>
      </c>
      <c r="AC2" s="2" t="s">
        <v>28</v>
      </c>
      <c r="AD2" s="2" t="s">
        <v>29</v>
      </c>
      <c r="AE2" s="2" t="s">
        <v>30</v>
      </c>
      <c r="AF2" s="2" t="s">
        <v>31</v>
      </c>
      <c r="AG2" s="2" t="s">
        <v>32</v>
      </c>
      <c r="AH2" s="2" t="s">
        <v>33</v>
      </c>
      <c r="AI2" s="2" t="s">
        <v>34</v>
      </c>
      <c r="AJ2" s="2" t="s">
        <v>35</v>
      </c>
      <c r="AK2" s="2" t="s">
        <v>36</v>
      </c>
      <c r="AL2" s="2" t="s">
        <v>37</v>
      </c>
      <c r="AM2" s="2" t="s">
        <v>38</v>
      </c>
      <c r="AN2" s="2" t="s">
        <v>39</v>
      </c>
      <c r="AO2" s="2" t="s">
        <v>40</v>
      </c>
      <c r="AP2" s="2" t="s">
        <v>41</v>
      </c>
      <c r="AQ2" s="2" t="s">
        <v>42</v>
      </c>
      <c r="AR2" s="2" t="s">
        <v>43</v>
      </c>
      <c r="AS2" s="2" t="s">
        <v>44</v>
      </c>
      <c r="AT2" s="2" t="s">
        <v>45</v>
      </c>
      <c r="AU2" s="2" t="s">
        <v>46</v>
      </c>
      <c r="AV2" s="2" t="s">
        <v>47</v>
      </c>
      <c r="AW2" s="2" t="s">
        <v>48</v>
      </c>
      <c r="AX2" s="2" t="s">
        <v>49</v>
      </c>
      <c r="AY2" s="2" t="s">
        <v>50</v>
      </c>
      <c r="AZ2" s="2" t="s">
        <v>51</v>
      </c>
      <c r="BA2" s="2" t="s">
        <v>52</v>
      </c>
      <c r="BB2" s="2" t="s">
        <v>53</v>
      </c>
      <c r="BC2" s="2" t="s">
        <v>54</v>
      </c>
      <c r="BD2" s="2" t="s">
        <v>55</v>
      </c>
      <c r="BE2" s="2" t="s">
        <v>56</v>
      </c>
      <c r="BF2" s="2" t="s">
        <v>57</v>
      </c>
      <c r="BG2" s="2" t="s">
        <v>58</v>
      </c>
      <c r="BH2" s="2" t="s">
        <v>59</v>
      </c>
      <c r="BI2" s="2" t="s">
        <v>60</v>
      </c>
      <c r="BJ2" s="2" t="s">
        <v>61</v>
      </c>
      <c r="BK2" s="2" t="s">
        <v>62</v>
      </c>
      <c r="BL2" s="2" t="s">
        <v>63</v>
      </c>
      <c r="BM2" s="2" t="s">
        <v>64</v>
      </c>
      <c r="BN2" s="2" t="s">
        <v>65</v>
      </c>
      <c r="BO2" s="2" t="s">
        <v>66</v>
      </c>
      <c r="BP2" s="2" t="s">
        <v>67</v>
      </c>
      <c r="BQ2" s="2" t="s">
        <v>68</v>
      </c>
      <c r="BR2" s="2" t="s">
        <v>69</v>
      </c>
      <c r="BS2" s="2" t="s">
        <v>70</v>
      </c>
      <c r="BT2" s="2" t="s">
        <v>71</v>
      </c>
      <c r="BU2" s="2" t="s">
        <v>72</v>
      </c>
      <c r="BV2" s="2" t="s">
        <v>73</v>
      </c>
      <c r="BW2" s="2" t="s">
        <v>74</v>
      </c>
      <c r="BX2" s="33" t="s">
        <v>75</v>
      </c>
      <c r="BY2" s="3"/>
    </row>
    <row r="3" spans="1:77" x14ac:dyDescent="0.25">
      <c r="A3" s="4">
        <v>1</v>
      </c>
      <c r="B3" s="5" t="s">
        <v>76</v>
      </c>
      <c r="C3" s="6" t="s">
        <v>77</v>
      </c>
      <c r="D3" s="7">
        <v>481</v>
      </c>
      <c r="E3" s="8">
        <v>45566</v>
      </c>
      <c r="F3" s="9">
        <v>46047</v>
      </c>
      <c r="G3" s="10">
        <v>36782151.810000002</v>
      </c>
      <c r="H3" s="11" t="s">
        <v>78</v>
      </c>
      <c r="I3" s="11" t="s">
        <v>79</v>
      </c>
      <c r="J3" s="12" t="s">
        <v>80</v>
      </c>
      <c r="K3" s="11" t="s">
        <v>81</v>
      </c>
      <c r="L3" s="11" t="s">
        <v>82</v>
      </c>
      <c r="M3" s="13">
        <v>16007674.959999999</v>
      </c>
      <c r="N3" s="10">
        <v>31106158.75</v>
      </c>
      <c r="O3" s="14">
        <v>0.84568621516980247</v>
      </c>
      <c r="P3" s="10">
        <v>5675993.0600000024</v>
      </c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10"/>
      <c r="BS3" s="10"/>
      <c r="BT3" s="10"/>
      <c r="BU3" s="10"/>
      <c r="BV3" s="10"/>
      <c r="BW3" s="10"/>
      <c r="BX3" s="34"/>
    </row>
    <row r="4" spans="1:77" x14ac:dyDescent="0.25">
      <c r="A4" s="16">
        <v>2</v>
      </c>
      <c r="B4" s="5" t="s">
        <v>83</v>
      </c>
      <c r="C4" s="6" t="s">
        <v>77</v>
      </c>
      <c r="D4" s="7">
        <v>723</v>
      </c>
      <c r="E4" s="8">
        <v>45309</v>
      </c>
      <c r="F4" s="9">
        <v>46032</v>
      </c>
      <c r="G4" s="10">
        <v>31022838.120000001</v>
      </c>
      <c r="H4" s="11" t="s">
        <v>78</v>
      </c>
      <c r="I4" s="11" t="s">
        <v>84</v>
      </c>
      <c r="J4" s="17" t="s">
        <v>85</v>
      </c>
      <c r="K4" s="11" t="s">
        <v>86</v>
      </c>
      <c r="L4" s="11" t="s">
        <v>87</v>
      </c>
      <c r="M4" s="13">
        <v>8926135.790000001</v>
      </c>
      <c r="N4" s="10">
        <v>16018051.240000002</v>
      </c>
      <c r="O4" s="14">
        <v>0.51633094232192067</v>
      </c>
      <c r="P4" s="10">
        <v>15004786.879999999</v>
      </c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34"/>
    </row>
    <row r="5" spans="1:77" x14ac:dyDescent="0.25">
      <c r="A5" s="16">
        <v>3</v>
      </c>
      <c r="B5" s="5" t="s">
        <v>88</v>
      </c>
      <c r="C5" s="6" t="s">
        <v>77</v>
      </c>
      <c r="D5" s="7">
        <v>1456</v>
      </c>
      <c r="E5" s="8">
        <v>44753</v>
      </c>
      <c r="F5" s="9">
        <v>46209</v>
      </c>
      <c r="G5" s="10">
        <v>51119038.920000002</v>
      </c>
      <c r="H5" s="11" t="s">
        <v>78</v>
      </c>
      <c r="I5" s="11" t="s">
        <v>89</v>
      </c>
      <c r="J5" s="18" t="s">
        <v>90</v>
      </c>
      <c r="K5" s="11" t="s">
        <v>91</v>
      </c>
      <c r="L5" s="11" t="s">
        <v>87</v>
      </c>
      <c r="M5" s="13">
        <v>1117858.23</v>
      </c>
      <c r="N5" s="10">
        <v>13076583.129999999</v>
      </c>
      <c r="O5" s="14">
        <v>0.25580651370352481</v>
      </c>
      <c r="P5" s="10">
        <v>38042455.790000007</v>
      </c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  <c r="BT5" s="10"/>
      <c r="BU5" s="10"/>
      <c r="BV5" s="10"/>
      <c r="BW5" s="10"/>
      <c r="BX5" s="34"/>
    </row>
    <row r="6" spans="1:77" x14ac:dyDescent="0.25">
      <c r="A6" s="16">
        <v>4</v>
      </c>
      <c r="B6" s="5" t="s">
        <v>92</v>
      </c>
      <c r="C6" s="6" t="s">
        <v>77</v>
      </c>
      <c r="D6" s="7">
        <v>360</v>
      </c>
      <c r="E6" s="8">
        <v>45868</v>
      </c>
      <c r="F6" s="9">
        <v>46228</v>
      </c>
      <c r="G6" s="10">
        <v>18990162.940000001</v>
      </c>
      <c r="H6" s="11" t="s">
        <v>78</v>
      </c>
      <c r="I6" s="11" t="s">
        <v>79</v>
      </c>
      <c r="J6" s="12" t="s">
        <v>80</v>
      </c>
      <c r="K6" s="11" t="s">
        <v>93</v>
      </c>
      <c r="L6" s="11" t="s">
        <v>94</v>
      </c>
      <c r="M6" s="13">
        <v>2683515.34</v>
      </c>
      <c r="N6" s="10">
        <v>2683515.34</v>
      </c>
      <c r="O6" s="14">
        <v>0.141310811733351</v>
      </c>
      <c r="P6" s="10">
        <v>16306647.600000001</v>
      </c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  <c r="BQ6" s="10"/>
      <c r="BR6" s="10"/>
      <c r="BS6" s="10"/>
      <c r="BT6" s="10"/>
      <c r="BU6" s="10"/>
      <c r="BV6" s="10"/>
      <c r="BW6" s="10"/>
      <c r="BX6" s="34"/>
    </row>
    <row r="7" spans="1:77" x14ac:dyDescent="0.25">
      <c r="A7" s="16">
        <v>5</v>
      </c>
      <c r="B7" s="5" t="s">
        <v>95</v>
      </c>
      <c r="C7" s="6" t="s">
        <v>77</v>
      </c>
      <c r="D7" s="7">
        <v>195</v>
      </c>
      <c r="E7" s="8">
        <v>45972</v>
      </c>
      <c r="F7" s="9">
        <v>46167</v>
      </c>
      <c r="G7" s="10">
        <v>2069000</v>
      </c>
      <c r="H7" s="11" t="s">
        <v>78</v>
      </c>
      <c r="I7" s="11" t="s">
        <v>89</v>
      </c>
      <c r="J7" s="18" t="s">
        <v>90</v>
      </c>
      <c r="K7" s="11" t="s">
        <v>96</v>
      </c>
      <c r="L7" s="11" t="s">
        <v>94</v>
      </c>
      <c r="M7" s="13">
        <v>1127526.06</v>
      </c>
      <c r="N7" s="10">
        <v>1127526.06</v>
      </c>
      <c r="O7" s="14">
        <v>0.54496184630256161</v>
      </c>
      <c r="P7" s="10">
        <v>941473.94</v>
      </c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  <c r="BQ7" s="10"/>
      <c r="BR7" s="10"/>
      <c r="BS7" s="10"/>
      <c r="BT7" s="10"/>
      <c r="BU7" s="10"/>
      <c r="BV7" s="10"/>
      <c r="BW7" s="10"/>
      <c r="BX7" s="34"/>
    </row>
    <row r="8" spans="1:77" x14ac:dyDescent="0.25">
      <c r="A8" s="16"/>
      <c r="B8" s="5" t="s">
        <v>97</v>
      </c>
      <c r="C8" s="6" t="s">
        <v>77</v>
      </c>
      <c r="D8" s="7">
        <v>692</v>
      </c>
      <c r="E8" s="8">
        <v>44868</v>
      </c>
      <c r="F8" s="9">
        <v>45560</v>
      </c>
      <c r="G8" s="10">
        <v>8396309.7599999998</v>
      </c>
      <c r="H8" s="11" t="s">
        <v>98</v>
      </c>
      <c r="I8" s="11" t="s">
        <v>99</v>
      </c>
      <c r="J8" s="18" t="s">
        <v>90</v>
      </c>
      <c r="K8" s="11" t="s">
        <v>91</v>
      </c>
      <c r="L8" s="11" t="s">
        <v>100</v>
      </c>
      <c r="M8" s="13">
        <v>0</v>
      </c>
      <c r="N8" s="10">
        <v>8394718.9999999981</v>
      </c>
      <c r="O8" s="14">
        <v>0.99981054057729268</v>
      </c>
      <c r="P8" s="10">
        <v>1590.7600000016391</v>
      </c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  <c r="BQ8" s="10"/>
      <c r="BR8" s="10"/>
      <c r="BS8" s="10"/>
      <c r="BT8" s="10"/>
      <c r="BU8" s="10"/>
      <c r="BV8" s="10"/>
      <c r="BW8" s="10"/>
      <c r="BX8" s="15"/>
    </row>
    <row r="9" spans="1:77" x14ac:dyDescent="0.25">
      <c r="A9" s="16"/>
      <c r="B9" s="5" t="s">
        <v>101</v>
      </c>
      <c r="C9" s="6" t="s">
        <v>77</v>
      </c>
      <c r="D9" s="7">
        <v>781</v>
      </c>
      <c r="E9" s="8">
        <v>44707</v>
      </c>
      <c r="F9" s="9">
        <v>45488</v>
      </c>
      <c r="G9" s="10">
        <v>4374443.78</v>
      </c>
      <c r="H9" s="11" t="s">
        <v>98</v>
      </c>
      <c r="I9" s="11" t="s">
        <v>102</v>
      </c>
      <c r="J9" s="18" t="s">
        <v>90</v>
      </c>
      <c r="K9" s="11" t="s">
        <v>103</v>
      </c>
      <c r="L9" s="11" t="s">
        <v>104</v>
      </c>
      <c r="M9" s="13">
        <v>0</v>
      </c>
      <c r="N9" s="10">
        <v>4374443.7300000004</v>
      </c>
      <c r="O9" s="14">
        <v>0.99999998856997552</v>
      </c>
      <c r="P9" s="10">
        <v>4.9999999813735485E-2</v>
      </c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5"/>
    </row>
    <row r="10" spans="1:77" x14ac:dyDescent="0.25">
      <c r="A10" s="16">
        <v>6</v>
      </c>
      <c r="B10" s="5" t="s">
        <v>105</v>
      </c>
      <c r="C10" s="6" t="s">
        <v>77</v>
      </c>
      <c r="D10" s="7">
        <v>1357</v>
      </c>
      <c r="E10" s="8">
        <v>44688</v>
      </c>
      <c r="F10" s="9">
        <v>46045</v>
      </c>
      <c r="G10" s="10">
        <v>8463890.9399999995</v>
      </c>
      <c r="H10" s="11" t="s">
        <v>78</v>
      </c>
      <c r="I10" s="11" t="s">
        <v>99</v>
      </c>
      <c r="J10" s="18" t="s">
        <v>90</v>
      </c>
      <c r="K10" s="11" t="s">
        <v>103</v>
      </c>
      <c r="L10" s="11" t="s">
        <v>104</v>
      </c>
      <c r="M10" s="13">
        <v>864919.94</v>
      </c>
      <c r="N10" s="10">
        <v>7322834.120000001</v>
      </c>
      <c r="O10" s="14">
        <v>0.86518531156782619</v>
      </c>
      <c r="P10" s="10">
        <v>1141056.8199999984</v>
      </c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34"/>
    </row>
    <row r="11" spans="1:77" x14ac:dyDescent="0.25">
      <c r="A11" s="16"/>
      <c r="B11" s="5" t="s">
        <v>106</v>
      </c>
      <c r="C11" s="6" t="s">
        <v>77</v>
      </c>
      <c r="D11" s="7">
        <v>1206</v>
      </c>
      <c r="E11" s="8">
        <v>44683</v>
      </c>
      <c r="F11" s="9">
        <v>45889</v>
      </c>
      <c r="G11" s="10">
        <v>1741703.69</v>
      </c>
      <c r="H11" s="11" t="s">
        <v>98</v>
      </c>
      <c r="I11" s="11" t="s">
        <v>79</v>
      </c>
      <c r="J11" s="18" t="s">
        <v>90</v>
      </c>
      <c r="K11" s="11" t="s">
        <v>107</v>
      </c>
      <c r="L11" s="11" t="s">
        <v>104</v>
      </c>
      <c r="M11" s="13">
        <v>0</v>
      </c>
      <c r="N11" s="10">
        <v>1740561.7400000002</v>
      </c>
      <c r="O11" s="14">
        <v>0.9993443488656788</v>
      </c>
      <c r="P11" s="10">
        <v>1141.9499999997206</v>
      </c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5"/>
    </row>
    <row r="12" spans="1:77" x14ac:dyDescent="0.25">
      <c r="A12" s="16">
        <v>7</v>
      </c>
      <c r="B12" s="5" t="s">
        <v>108</v>
      </c>
      <c r="C12" s="6" t="s">
        <v>77</v>
      </c>
      <c r="D12" s="7">
        <v>1388</v>
      </c>
      <c r="E12" s="8">
        <v>44655</v>
      </c>
      <c r="F12" s="9">
        <v>46043</v>
      </c>
      <c r="G12" s="10">
        <v>1351520.58</v>
      </c>
      <c r="H12" s="11" t="s">
        <v>78</v>
      </c>
      <c r="I12" s="11" t="s">
        <v>79</v>
      </c>
      <c r="J12" s="18" t="s">
        <v>90</v>
      </c>
      <c r="K12" s="11" t="s">
        <v>107</v>
      </c>
      <c r="L12" s="11" t="s">
        <v>104</v>
      </c>
      <c r="M12" s="13">
        <v>0</v>
      </c>
      <c r="N12" s="10">
        <v>1222003.4100000001</v>
      </c>
      <c r="O12" s="14">
        <v>0.90416929500252241</v>
      </c>
      <c r="P12" s="10">
        <v>129517.16999999993</v>
      </c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34"/>
    </row>
    <row r="13" spans="1:77" x14ac:dyDescent="0.25">
      <c r="A13" s="16"/>
      <c r="B13" s="5" t="s">
        <v>109</v>
      </c>
      <c r="C13" s="6" t="s">
        <v>77</v>
      </c>
      <c r="D13" s="7">
        <v>206</v>
      </c>
      <c r="E13" s="8">
        <v>45360</v>
      </c>
      <c r="F13" s="9">
        <v>45566</v>
      </c>
      <c r="G13" s="10">
        <v>8811881.7799999993</v>
      </c>
      <c r="H13" s="11" t="s">
        <v>98</v>
      </c>
      <c r="I13" s="11" t="s">
        <v>89</v>
      </c>
      <c r="J13" s="12" t="s">
        <v>80</v>
      </c>
      <c r="K13" s="11" t="s">
        <v>110</v>
      </c>
      <c r="L13" s="11" t="s">
        <v>111</v>
      </c>
      <c r="M13" s="13">
        <v>0</v>
      </c>
      <c r="N13" s="10">
        <v>7104640.0500000007</v>
      </c>
      <c r="O13" s="14">
        <v>0.80625685039546691</v>
      </c>
      <c r="P13" s="10">
        <v>1707241.7299999986</v>
      </c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5"/>
    </row>
    <row r="14" spans="1:77" x14ac:dyDescent="0.25">
      <c r="A14" s="16"/>
      <c r="B14" s="5" t="s">
        <v>112</v>
      </c>
      <c r="C14" s="6" t="s">
        <v>77</v>
      </c>
      <c r="D14" s="7">
        <v>814</v>
      </c>
      <c r="E14" s="8">
        <v>44746</v>
      </c>
      <c r="F14" s="9">
        <v>45560</v>
      </c>
      <c r="G14" s="10">
        <v>5272095.08</v>
      </c>
      <c r="H14" s="11" t="s">
        <v>98</v>
      </c>
      <c r="I14" s="11" t="s">
        <v>89</v>
      </c>
      <c r="J14" s="12" t="s">
        <v>80</v>
      </c>
      <c r="K14" s="11" t="s">
        <v>113</v>
      </c>
      <c r="L14" s="11" t="s">
        <v>114</v>
      </c>
      <c r="M14" s="13">
        <v>0</v>
      </c>
      <c r="N14" s="10">
        <v>5132338.3099999996</v>
      </c>
      <c r="O14" s="14">
        <v>0.9734912273243751</v>
      </c>
      <c r="P14" s="10">
        <v>139756.77000000048</v>
      </c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5"/>
    </row>
    <row r="15" spans="1:77" x14ac:dyDescent="0.25">
      <c r="A15" s="16"/>
      <c r="B15" s="5" t="s">
        <v>115</v>
      </c>
      <c r="C15" s="6" t="s">
        <v>77</v>
      </c>
      <c r="D15" s="7">
        <v>567</v>
      </c>
      <c r="E15" s="8">
        <v>44918</v>
      </c>
      <c r="F15" s="9">
        <v>45485</v>
      </c>
      <c r="G15" s="10">
        <v>4645152.25</v>
      </c>
      <c r="H15" s="11" t="s">
        <v>98</v>
      </c>
      <c r="I15" s="11" t="s">
        <v>99</v>
      </c>
      <c r="J15" s="12" t="s">
        <v>80</v>
      </c>
      <c r="K15" s="11" t="s">
        <v>116</v>
      </c>
      <c r="L15" s="11" t="s">
        <v>114</v>
      </c>
      <c r="M15" s="13">
        <v>0</v>
      </c>
      <c r="N15" s="10">
        <v>4625557.4899999993</v>
      </c>
      <c r="O15" s="14">
        <v>0.99578167540148965</v>
      </c>
      <c r="P15" s="10">
        <v>19594.760000000708</v>
      </c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5"/>
    </row>
    <row r="16" spans="1:77" x14ac:dyDescent="0.25">
      <c r="A16" s="16"/>
      <c r="B16" s="5" t="s">
        <v>117</v>
      </c>
      <c r="C16" s="6" t="s">
        <v>77</v>
      </c>
      <c r="D16" s="7">
        <v>844</v>
      </c>
      <c r="E16" s="8">
        <v>44663</v>
      </c>
      <c r="F16" s="9">
        <v>45507</v>
      </c>
      <c r="G16" s="10">
        <v>11046611.98</v>
      </c>
      <c r="H16" s="11" t="s">
        <v>98</v>
      </c>
      <c r="I16" s="11" t="s">
        <v>102</v>
      </c>
      <c r="J16" s="12" t="s">
        <v>80</v>
      </c>
      <c r="K16" s="11" t="s">
        <v>118</v>
      </c>
      <c r="L16" s="11" t="s">
        <v>114</v>
      </c>
      <c r="M16" s="13">
        <v>0</v>
      </c>
      <c r="N16" s="10">
        <v>10939879.359999998</v>
      </c>
      <c r="O16" s="14">
        <v>0.99033797691154146</v>
      </c>
      <c r="P16" s="10">
        <v>106732.62000000291</v>
      </c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5"/>
    </row>
    <row r="17" spans="1:76" x14ac:dyDescent="0.25">
      <c r="A17" s="16"/>
      <c r="B17" s="5" t="s">
        <v>119</v>
      </c>
      <c r="C17" s="6" t="s">
        <v>77</v>
      </c>
      <c r="D17" s="7">
        <v>752</v>
      </c>
      <c r="E17" s="8">
        <v>44753</v>
      </c>
      <c r="F17" s="9">
        <v>45505</v>
      </c>
      <c r="G17" s="10">
        <v>30334596.91</v>
      </c>
      <c r="H17" s="11" t="s">
        <v>120</v>
      </c>
      <c r="I17" s="11" t="s">
        <v>89</v>
      </c>
      <c r="J17" s="18" t="s">
        <v>90</v>
      </c>
      <c r="K17" s="11" t="s">
        <v>91</v>
      </c>
      <c r="L17" s="11" t="s">
        <v>121</v>
      </c>
      <c r="M17" s="13">
        <v>0</v>
      </c>
      <c r="N17" s="10">
        <v>6171355.169999999</v>
      </c>
      <c r="O17" s="14">
        <v>0.20344279465159371</v>
      </c>
      <c r="P17" s="10">
        <v>24163241.740000002</v>
      </c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  <c r="BQ17" s="10"/>
      <c r="BR17" s="10"/>
      <c r="BS17" s="10"/>
      <c r="BT17" s="10"/>
      <c r="BU17" s="10"/>
      <c r="BV17" s="10"/>
      <c r="BW17" s="10"/>
      <c r="BX17" s="15"/>
    </row>
    <row r="18" spans="1:76" x14ac:dyDescent="0.25">
      <c r="A18" s="16"/>
      <c r="B18" s="5" t="s">
        <v>122</v>
      </c>
      <c r="C18" s="6" t="s">
        <v>77</v>
      </c>
      <c r="D18" s="7">
        <v>572</v>
      </c>
      <c r="E18" s="8">
        <v>45261</v>
      </c>
      <c r="F18" s="9">
        <v>45833</v>
      </c>
      <c r="G18" s="10">
        <v>10061005.41</v>
      </c>
      <c r="H18" s="11" t="s">
        <v>98</v>
      </c>
      <c r="I18" s="11" t="s">
        <v>99</v>
      </c>
      <c r="J18" s="17" t="s">
        <v>85</v>
      </c>
      <c r="K18" s="11" t="s">
        <v>123</v>
      </c>
      <c r="L18" s="11" t="s">
        <v>124</v>
      </c>
      <c r="M18" s="13">
        <v>2214379.38</v>
      </c>
      <c r="N18" s="10">
        <v>10061305.059999999</v>
      </c>
      <c r="O18" s="14">
        <v>1</v>
      </c>
      <c r="P18" s="10">
        <v>-299.64999999850988</v>
      </c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5"/>
    </row>
    <row r="19" spans="1:76" x14ac:dyDescent="0.25">
      <c r="A19" s="16">
        <v>8</v>
      </c>
      <c r="B19" s="5" t="s">
        <v>125</v>
      </c>
      <c r="C19" s="6" t="s">
        <v>77</v>
      </c>
      <c r="D19" s="7">
        <v>844</v>
      </c>
      <c r="E19" s="8">
        <v>45278</v>
      </c>
      <c r="F19" s="9">
        <v>46122</v>
      </c>
      <c r="G19" s="10">
        <v>3294597.99</v>
      </c>
      <c r="H19" s="11" t="s">
        <v>78</v>
      </c>
      <c r="I19" s="11" t="s">
        <v>126</v>
      </c>
      <c r="J19" s="17" t="s">
        <v>85</v>
      </c>
      <c r="K19" s="11" t="s">
        <v>127</v>
      </c>
      <c r="L19" s="11" t="s">
        <v>124</v>
      </c>
      <c r="M19" s="13">
        <v>730910.39999999991</v>
      </c>
      <c r="N19" s="10">
        <v>1038880.21</v>
      </c>
      <c r="O19" s="14">
        <v>0.31532836878832671</v>
      </c>
      <c r="P19" s="10">
        <v>2255717.7800000003</v>
      </c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34"/>
    </row>
    <row r="20" spans="1:76" x14ac:dyDescent="0.25">
      <c r="A20" s="16">
        <v>9</v>
      </c>
      <c r="B20" s="5" t="s">
        <v>128</v>
      </c>
      <c r="C20" s="6" t="s">
        <v>77</v>
      </c>
      <c r="D20" s="7">
        <v>1261</v>
      </c>
      <c r="E20" s="8">
        <v>44883</v>
      </c>
      <c r="F20" s="9">
        <v>46144</v>
      </c>
      <c r="G20" s="10">
        <v>60543657.329999998</v>
      </c>
      <c r="H20" s="11" t="s">
        <v>78</v>
      </c>
      <c r="I20" s="11" t="s">
        <v>84</v>
      </c>
      <c r="J20" s="17" t="s">
        <v>85</v>
      </c>
      <c r="K20" s="11" t="s">
        <v>86</v>
      </c>
      <c r="L20" s="11" t="s">
        <v>129</v>
      </c>
      <c r="M20" s="13">
        <v>4610802.8600000003</v>
      </c>
      <c r="N20" s="10">
        <v>26345865.469999999</v>
      </c>
      <c r="O20" s="14">
        <v>0.43515483919973491</v>
      </c>
      <c r="P20" s="10">
        <v>34197791.859999999</v>
      </c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  <c r="BQ20" s="10"/>
      <c r="BR20" s="10"/>
      <c r="BS20" s="10"/>
      <c r="BT20" s="10"/>
      <c r="BU20" s="10"/>
      <c r="BV20" s="10"/>
      <c r="BW20" s="10"/>
      <c r="BX20" s="34"/>
    </row>
    <row r="21" spans="1:76" x14ac:dyDescent="0.25">
      <c r="A21" s="16"/>
      <c r="B21" s="5" t="s">
        <v>130</v>
      </c>
      <c r="C21" s="6" t="s">
        <v>77</v>
      </c>
      <c r="D21" s="7">
        <v>1275</v>
      </c>
      <c r="E21" s="8">
        <v>44697</v>
      </c>
      <c r="F21" s="9">
        <v>45972</v>
      </c>
      <c r="G21" s="10">
        <v>32464769.579999998</v>
      </c>
      <c r="H21" s="11" t="s">
        <v>98</v>
      </c>
      <c r="I21" s="11" t="s">
        <v>84</v>
      </c>
      <c r="J21" s="17" t="s">
        <v>85</v>
      </c>
      <c r="K21" s="11" t="s">
        <v>86</v>
      </c>
      <c r="L21" s="11" t="s">
        <v>131</v>
      </c>
      <c r="M21" s="13">
        <v>5971037.2300000004</v>
      </c>
      <c r="N21" s="10">
        <v>32314427.699999999</v>
      </c>
      <c r="O21" s="14">
        <v>0.99536907601855829</v>
      </c>
      <c r="P21" s="10">
        <v>150341.87999999896</v>
      </c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  <c r="BQ21" s="10"/>
      <c r="BR21" s="10"/>
      <c r="BS21" s="10"/>
      <c r="BT21" s="10"/>
      <c r="BU21" s="10"/>
      <c r="BV21" s="10"/>
      <c r="BW21" s="10"/>
      <c r="BX21" s="15"/>
    </row>
    <row r="22" spans="1:76" x14ac:dyDescent="0.25">
      <c r="A22" s="16"/>
      <c r="B22" s="5" t="s">
        <v>132</v>
      </c>
      <c r="C22" s="6" t="s">
        <v>77</v>
      </c>
      <c r="D22" s="7">
        <v>714</v>
      </c>
      <c r="E22" s="8">
        <v>44826</v>
      </c>
      <c r="F22" s="9">
        <v>45540</v>
      </c>
      <c r="G22" s="10">
        <v>30543662.309999999</v>
      </c>
      <c r="H22" s="11" t="s">
        <v>98</v>
      </c>
      <c r="I22" s="11" t="s">
        <v>89</v>
      </c>
      <c r="J22" s="17" t="s">
        <v>85</v>
      </c>
      <c r="K22" s="11" t="s">
        <v>133</v>
      </c>
      <c r="L22" s="11" t="s">
        <v>134</v>
      </c>
      <c r="M22" s="13">
        <v>0</v>
      </c>
      <c r="N22" s="10">
        <v>28044628.649999999</v>
      </c>
      <c r="O22" s="14">
        <v>0.91818159739207772</v>
      </c>
      <c r="P22" s="10">
        <v>2499033.66</v>
      </c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  <c r="BW22" s="10"/>
      <c r="BX22" s="15"/>
    </row>
    <row r="23" spans="1:76" x14ac:dyDescent="0.25">
      <c r="A23" s="16">
        <v>10</v>
      </c>
      <c r="B23" s="5" t="s">
        <v>135</v>
      </c>
      <c r="C23" s="6" t="s">
        <v>77</v>
      </c>
      <c r="D23" s="7">
        <v>729</v>
      </c>
      <c r="E23" s="8">
        <v>44708</v>
      </c>
      <c r="F23" s="9">
        <v>45437</v>
      </c>
      <c r="G23" s="10">
        <v>30477728.43</v>
      </c>
      <c r="H23" s="11" t="s">
        <v>78</v>
      </c>
      <c r="I23" s="11" t="s">
        <v>99</v>
      </c>
      <c r="J23" s="18" t="s">
        <v>90</v>
      </c>
      <c r="K23" s="11" t="s">
        <v>103</v>
      </c>
      <c r="L23" s="11" t="s">
        <v>136</v>
      </c>
      <c r="M23" s="13">
        <v>0</v>
      </c>
      <c r="N23" s="10">
        <v>12534756.699999999</v>
      </c>
      <c r="O23" s="14">
        <v>0.41127594954424884</v>
      </c>
      <c r="P23" s="10">
        <v>17942971.73</v>
      </c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34"/>
    </row>
    <row r="24" spans="1:76" x14ac:dyDescent="0.25">
      <c r="A24" s="16"/>
      <c r="B24" s="5" t="s">
        <v>137</v>
      </c>
      <c r="C24" s="6" t="s">
        <v>77</v>
      </c>
      <c r="D24" s="7">
        <v>934</v>
      </c>
      <c r="E24" s="8">
        <v>44994</v>
      </c>
      <c r="F24" s="9">
        <v>45928</v>
      </c>
      <c r="G24" s="10">
        <v>17695067.23</v>
      </c>
      <c r="H24" s="11" t="s">
        <v>98</v>
      </c>
      <c r="I24" s="11" t="s">
        <v>99</v>
      </c>
      <c r="J24" s="12" t="s">
        <v>80</v>
      </c>
      <c r="K24" s="11" t="s">
        <v>138</v>
      </c>
      <c r="L24" s="11" t="s">
        <v>139</v>
      </c>
      <c r="M24" s="13">
        <v>3586965.9099999997</v>
      </c>
      <c r="N24" s="10">
        <v>17677149.640000001</v>
      </c>
      <c r="O24" s="14">
        <v>0.99898742458747913</v>
      </c>
      <c r="P24" s="10">
        <v>17917.589999999851</v>
      </c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5"/>
    </row>
    <row r="25" spans="1:76" x14ac:dyDescent="0.25">
      <c r="A25" s="16">
        <v>11</v>
      </c>
      <c r="B25" s="5" t="s">
        <v>140</v>
      </c>
      <c r="C25" s="6" t="s">
        <v>77</v>
      </c>
      <c r="D25" s="7">
        <v>1325</v>
      </c>
      <c r="E25" s="8">
        <v>45035</v>
      </c>
      <c r="F25" s="9">
        <v>46360</v>
      </c>
      <c r="G25" s="10">
        <v>56189486.280000001</v>
      </c>
      <c r="H25" s="11" t="s">
        <v>78</v>
      </c>
      <c r="I25" s="11" t="s">
        <v>126</v>
      </c>
      <c r="J25" s="17" t="s">
        <v>85</v>
      </c>
      <c r="K25" s="11" t="s">
        <v>141</v>
      </c>
      <c r="L25" s="11" t="s">
        <v>142</v>
      </c>
      <c r="M25" s="13">
        <v>8765166.1600000001</v>
      </c>
      <c r="N25" s="10">
        <v>54515037.340000004</v>
      </c>
      <c r="O25" s="14">
        <v>0.97019995997728148</v>
      </c>
      <c r="P25" s="10">
        <v>1674448.9399999976</v>
      </c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34"/>
    </row>
    <row r="26" spans="1:76" x14ac:dyDescent="0.25">
      <c r="A26" s="16"/>
      <c r="B26" s="5" t="s">
        <v>143</v>
      </c>
      <c r="C26" s="6" t="s">
        <v>77</v>
      </c>
      <c r="D26" s="7">
        <v>300</v>
      </c>
      <c r="E26" s="8">
        <v>44887</v>
      </c>
      <c r="F26" s="9">
        <v>45187</v>
      </c>
      <c r="G26" s="10">
        <v>47996411.380000003</v>
      </c>
      <c r="H26" s="11" t="s">
        <v>120</v>
      </c>
      <c r="I26" s="11" t="s">
        <v>89</v>
      </c>
      <c r="J26" s="18" t="s">
        <v>90</v>
      </c>
      <c r="K26" s="11" t="s">
        <v>91</v>
      </c>
      <c r="L26" s="11" t="s">
        <v>144</v>
      </c>
      <c r="M26" s="13">
        <v>0</v>
      </c>
      <c r="N26" s="10">
        <v>133579.45000000001</v>
      </c>
      <c r="O26" s="14">
        <v>0.27831132819997095</v>
      </c>
      <c r="P26" s="10">
        <v>47862831.93</v>
      </c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0"/>
      <c r="BS26" s="10"/>
      <c r="BT26" s="10"/>
      <c r="BU26" s="10"/>
      <c r="BV26" s="10"/>
      <c r="BW26" s="10"/>
      <c r="BX26" s="15"/>
    </row>
    <row r="27" spans="1:76" x14ac:dyDescent="0.25">
      <c r="A27" s="16"/>
      <c r="B27" s="5" t="s">
        <v>145</v>
      </c>
      <c r="C27" s="6" t="s">
        <v>77</v>
      </c>
      <c r="D27" s="7">
        <v>754</v>
      </c>
      <c r="E27" s="8">
        <v>45247</v>
      </c>
      <c r="F27" s="9">
        <v>46001</v>
      </c>
      <c r="G27" s="10">
        <v>19451386.879999999</v>
      </c>
      <c r="H27" s="11" t="s">
        <v>98</v>
      </c>
      <c r="I27" s="11" t="s">
        <v>89</v>
      </c>
      <c r="J27" s="18" t="s">
        <v>90</v>
      </c>
      <c r="K27" s="11" t="s">
        <v>146</v>
      </c>
      <c r="L27" s="11" t="s">
        <v>144</v>
      </c>
      <c r="M27" s="13">
        <v>11451545.16</v>
      </c>
      <c r="N27" s="10">
        <v>19406169.390000001</v>
      </c>
      <c r="O27" s="14">
        <v>0.99767535907444771</v>
      </c>
      <c r="P27" s="10">
        <v>45217.489999998361</v>
      </c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5"/>
    </row>
    <row r="28" spans="1:76" x14ac:dyDescent="0.25">
      <c r="A28" s="16">
        <v>12</v>
      </c>
      <c r="B28" s="5" t="s">
        <v>147</v>
      </c>
      <c r="C28" s="6" t="s">
        <v>77</v>
      </c>
      <c r="D28" s="7">
        <v>180</v>
      </c>
      <c r="E28" s="8">
        <v>46009</v>
      </c>
      <c r="F28" s="9">
        <v>46189</v>
      </c>
      <c r="G28" s="10">
        <v>4705907.3</v>
      </c>
      <c r="H28" s="11" t="s">
        <v>78</v>
      </c>
      <c r="I28" s="11" t="s">
        <v>99</v>
      </c>
      <c r="J28" s="18" t="s">
        <v>90</v>
      </c>
      <c r="K28" s="11" t="s">
        <v>148</v>
      </c>
      <c r="L28" s="11" t="s">
        <v>149</v>
      </c>
      <c r="M28" s="13">
        <v>0</v>
      </c>
      <c r="N28" s="10">
        <v>0</v>
      </c>
      <c r="O28" s="14">
        <v>0</v>
      </c>
      <c r="P28" s="10">
        <v>4705907.3</v>
      </c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34"/>
    </row>
    <row r="29" spans="1:76" x14ac:dyDescent="0.25">
      <c r="A29" s="16"/>
      <c r="B29" s="5" t="s">
        <v>150</v>
      </c>
      <c r="C29" s="6" t="s">
        <v>77</v>
      </c>
      <c r="D29" s="7">
        <v>421</v>
      </c>
      <c r="E29" s="8">
        <v>45155</v>
      </c>
      <c r="F29" s="9">
        <v>45576</v>
      </c>
      <c r="G29" s="10">
        <v>4444784.22</v>
      </c>
      <c r="H29" s="11" t="s">
        <v>98</v>
      </c>
      <c r="I29" s="11" t="s">
        <v>89</v>
      </c>
      <c r="J29" s="17" t="s">
        <v>85</v>
      </c>
      <c r="K29" s="11" t="s">
        <v>151</v>
      </c>
      <c r="L29" s="11" t="s">
        <v>149</v>
      </c>
      <c r="M29" s="13">
        <v>0</v>
      </c>
      <c r="N29" s="10">
        <v>4324004.79</v>
      </c>
      <c r="O29" s="14">
        <v>0.9728267056347677</v>
      </c>
      <c r="P29" s="10">
        <v>120779.4299999997</v>
      </c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5"/>
    </row>
    <row r="30" spans="1:76" x14ac:dyDescent="0.25">
      <c r="A30" s="16"/>
      <c r="B30" s="5" t="s">
        <v>152</v>
      </c>
      <c r="C30" s="6" t="s">
        <v>77</v>
      </c>
      <c r="D30" s="7">
        <v>997</v>
      </c>
      <c r="E30" s="8">
        <v>45026</v>
      </c>
      <c r="F30" s="9">
        <v>46023</v>
      </c>
      <c r="G30" s="10">
        <v>2755604.93</v>
      </c>
      <c r="H30" s="11" t="s">
        <v>98</v>
      </c>
      <c r="I30" s="11" t="s">
        <v>79</v>
      </c>
      <c r="J30" s="12" t="s">
        <v>80</v>
      </c>
      <c r="K30" s="11" t="s">
        <v>118</v>
      </c>
      <c r="L30" s="11" t="s">
        <v>153</v>
      </c>
      <c r="M30" s="13">
        <v>0</v>
      </c>
      <c r="N30" s="10">
        <v>2226331.4500000002</v>
      </c>
      <c r="O30" s="14">
        <v>0.80792838834121272</v>
      </c>
      <c r="P30" s="10">
        <v>529273.48</v>
      </c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5"/>
    </row>
    <row r="31" spans="1:76" x14ac:dyDescent="0.25">
      <c r="A31" s="16"/>
      <c r="B31" s="5" t="s">
        <v>154</v>
      </c>
      <c r="C31" s="6" t="s">
        <v>77</v>
      </c>
      <c r="D31" s="7">
        <v>788</v>
      </c>
      <c r="E31" s="8">
        <v>44831</v>
      </c>
      <c r="F31" s="9">
        <v>45619</v>
      </c>
      <c r="G31" s="10">
        <v>58086688.759999998</v>
      </c>
      <c r="H31" s="11" t="s">
        <v>98</v>
      </c>
      <c r="I31" s="11" t="s">
        <v>89</v>
      </c>
      <c r="J31" s="18" t="s">
        <v>90</v>
      </c>
      <c r="K31" s="11" t="s">
        <v>146</v>
      </c>
      <c r="L31" s="11" t="s">
        <v>155</v>
      </c>
      <c r="M31" s="13">
        <v>0</v>
      </c>
      <c r="N31" s="10">
        <v>56408430.849999994</v>
      </c>
      <c r="O31" s="14">
        <v>0.97110770219775899</v>
      </c>
      <c r="P31" s="10">
        <v>1678257.9100000039</v>
      </c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5"/>
    </row>
    <row r="32" spans="1:76" x14ac:dyDescent="0.25">
      <c r="A32" s="16">
        <v>13</v>
      </c>
      <c r="B32" s="5" t="s">
        <v>156</v>
      </c>
      <c r="C32" s="6" t="s">
        <v>77</v>
      </c>
      <c r="D32" s="7">
        <v>301</v>
      </c>
      <c r="E32" s="8">
        <v>45782</v>
      </c>
      <c r="F32" s="9">
        <v>46083</v>
      </c>
      <c r="G32" s="10">
        <v>2860442.12</v>
      </c>
      <c r="H32" s="11" t="s">
        <v>78</v>
      </c>
      <c r="I32" s="11" t="s">
        <v>79</v>
      </c>
      <c r="J32" s="12" t="s">
        <v>80</v>
      </c>
      <c r="K32" s="11" t="s">
        <v>157</v>
      </c>
      <c r="L32" s="11" t="s">
        <v>158</v>
      </c>
      <c r="M32" s="13">
        <v>1739254.2</v>
      </c>
      <c r="N32" s="10">
        <v>1739254.2</v>
      </c>
      <c r="O32" s="14">
        <v>0.71803684431831805</v>
      </c>
      <c r="P32" s="10">
        <v>1121187.9200000002</v>
      </c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34"/>
    </row>
    <row r="33" spans="1:76" x14ac:dyDescent="0.25">
      <c r="A33" s="16">
        <v>14</v>
      </c>
      <c r="B33" s="5" t="s">
        <v>159</v>
      </c>
      <c r="C33" s="6" t="s">
        <v>77</v>
      </c>
      <c r="D33" s="7">
        <v>360</v>
      </c>
      <c r="E33" s="8">
        <v>45936</v>
      </c>
      <c r="F33" s="9">
        <v>46296</v>
      </c>
      <c r="G33" s="10">
        <v>7848019.5300000003</v>
      </c>
      <c r="H33" s="11" t="s">
        <v>78</v>
      </c>
      <c r="I33" s="11" t="s">
        <v>89</v>
      </c>
      <c r="J33" s="19" t="s">
        <v>160</v>
      </c>
      <c r="K33" s="11" t="s">
        <v>161</v>
      </c>
      <c r="L33" s="11" t="s">
        <v>162</v>
      </c>
      <c r="M33" s="13">
        <v>842876.36</v>
      </c>
      <c r="N33" s="10">
        <v>842876.36</v>
      </c>
      <c r="O33" s="14">
        <v>0.10739988054030747</v>
      </c>
      <c r="P33" s="10">
        <v>7005143.1699999999</v>
      </c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34"/>
    </row>
    <row r="34" spans="1:76" x14ac:dyDescent="0.25">
      <c r="A34" s="16"/>
      <c r="B34" s="5" t="s">
        <v>163</v>
      </c>
      <c r="C34" s="6" t="s">
        <v>77</v>
      </c>
      <c r="D34" s="7">
        <v>612</v>
      </c>
      <c r="E34" s="8">
        <v>44873</v>
      </c>
      <c r="F34" s="9">
        <v>45485</v>
      </c>
      <c r="G34" s="10">
        <v>9751616.3699999992</v>
      </c>
      <c r="H34" s="11" t="s">
        <v>98</v>
      </c>
      <c r="I34" s="11" t="s">
        <v>102</v>
      </c>
      <c r="J34" s="12" t="s">
        <v>80</v>
      </c>
      <c r="K34" s="11" t="s">
        <v>164</v>
      </c>
      <c r="L34" s="11" t="s">
        <v>165</v>
      </c>
      <c r="M34" s="13">
        <v>0</v>
      </c>
      <c r="N34" s="10">
        <v>9661616.3699999973</v>
      </c>
      <c r="O34" s="14">
        <v>0.99077076080670279</v>
      </c>
      <c r="P34" s="10">
        <v>90000.000000001863</v>
      </c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5"/>
    </row>
    <row r="35" spans="1:76" x14ac:dyDescent="0.25">
      <c r="A35" s="16"/>
      <c r="B35" s="5" t="s">
        <v>166</v>
      </c>
      <c r="C35" s="6" t="s">
        <v>77</v>
      </c>
      <c r="D35" s="7">
        <v>644</v>
      </c>
      <c r="E35" s="8">
        <v>44767</v>
      </c>
      <c r="F35" s="9">
        <v>45411</v>
      </c>
      <c r="G35" s="10">
        <v>13792679.789999999</v>
      </c>
      <c r="H35" s="11" t="s">
        <v>98</v>
      </c>
      <c r="I35" s="11" t="s">
        <v>84</v>
      </c>
      <c r="J35" s="12" t="s">
        <v>80</v>
      </c>
      <c r="K35" s="11" t="s">
        <v>167</v>
      </c>
      <c r="L35" s="11" t="s">
        <v>165</v>
      </c>
      <c r="M35" s="13">
        <v>0</v>
      </c>
      <c r="N35" s="10">
        <v>13792679.65</v>
      </c>
      <c r="O35" s="14">
        <v>0.9999999898496883</v>
      </c>
      <c r="P35" s="10">
        <v>0.1399999987334013</v>
      </c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5"/>
    </row>
    <row r="36" spans="1:76" x14ac:dyDescent="0.25">
      <c r="A36" s="16">
        <v>15</v>
      </c>
      <c r="B36" s="5" t="s">
        <v>168</v>
      </c>
      <c r="C36" s="6" t="s">
        <v>77</v>
      </c>
      <c r="D36" s="7">
        <v>812</v>
      </c>
      <c r="E36" s="8">
        <v>45286</v>
      </c>
      <c r="F36" s="9">
        <v>46098</v>
      </c>
      <c r="G36" s="10">
        <v>7704834.9100000001</v>
      </c>
      <c r="H36" s="11" t="s">
        <v>78</v>
      </c>
      <c r="I36" s="11" t="s">
        <v>84</v>
      </c>
      <c r="J36" s="17" t="s">
        <v>85</v>
      </c>
      <c r="K36" s="11" t="s">
        <v>169</v>
      </c>
      <c r="L36" s="11" t="s">
        <v>170</v>
      </c>
      <c r="M36" s="13">
        <v>2588125.33</v>
      </c>
      <c r="N36" s="10">
        <v>6488132.9299999988</v>
      </c>
      <c r="O36" s="14">
        <v>0.84208591174083947</v>
      </c>
      <c r="P36" s="10">
        <v>1216701.9800000014</v>
      </c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34"/>
    </row>
    <row r="37" spans="1:76" x14ac:dyDescent="0.25">
      <c r="A37" s="16"/>
      <c r="B37" s="5" t="s">
        <v>171</v>
      </c>
      <c r="C37" s="6" t="s">
        <v>77</v>
      </c>
      <c r="D37" s="7">
        <v>850</v>
      </c>
      <c r="E37" s="8">
        <v>44536</v>
      </c>
      <c r="F37" s="9">
        <v>45386</v>
      </c>
      <c r="G37" s="10">
        <v>3107538.75</v>
      </c>
      <c r="H37" s="11" t="s">
        <v>98</v>
      </c>
      <c r="I37" s="11" t="s">
        <v>99</v>
      </c>
      <c r="J37" s="18" t="s">
        <v>90</v>
      </c>
      <c r="K37" s="11" t="s">
        <v>96</v>
      </c>
      <c r="L37" s="11" t="s">
        <v>172</v>
      </c>
      <c r="M37" s="13">
        <v>0</v>
      </c>
      <c r="N37" s="10">
        <v>3034704.58</v>
      </c>
      <c r="O37" s="14">
        <v>0.97656210401237953</v>
      </c>
      <c r="P37" s="10">
        <v>72834.169999999925</v>
      </c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5"/>
    </row>
    <row r="38" spans="1:76" x14ac:dyDescent="0.25">
      <c r="A38" s="16"/>
      <c r="B38" s="5" t="s">
        <v>173</v>
      </c>
      <c r="C38" s="6" t="s">
        <v>77</v>
      </c>
      <c r="D38" s="7">
        <v>664</v>
      </c>
      <c r="E38" s="8">
        <v>45105</v>
      </c>
      <c r="F38" s="9">
        <v>45769</v>
      </c>
      <c r="G38" s="10">
        <v>51359899.57</v>
      </c>
      <c r="H38" s="11" t="s">
        <v>120</v>
      </c>
      <c r="I38" s="11" t="s">
        <v>89</v>
      </c>
      <c r="J38" s="19" t="s">
        <v>160</v>
      </c>
      <c r="K38" s="11" t="s">
        <v>174</v>
      </c>
      <c r="L38" s="11" t="s">
        <v>175</v>
      </c>
      <c r="M38" s="13">
        <v>0</v>
      </c>
      <c r="N38" s="10">
        <v>41562191.240000002</v>
      </c>
      <c r="O38" s="14">
        <v>0.80923427786990898</v>
      </c>
      <c r="P38" s="10">
        <v>9797708.3299999982</v>
      </c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5"/>
    </row>
    <row r="39" spans="1:76" x14ac:dyDescent="0.25">
      <c r="A39" s="16"/>
      <c r="B39" s="5" t="s">
        <v>176</v>
      </c>
      <c r="C39" s="6" t="s">
        <v>77</v>
      </c>
      <c r="D39" s="7">
        <v>608</v>
      </c>
      <c r="E39" s="8">
        <v>44923</v>
      </c>
      <c r="F39" s="9">
        <v>45531</v>
      </c>
      <c r="G39" s="10">
        <v>13242425.640000001</v>
      </c>
      <c r="H39" s="11" t="s">
        <v>98</v>
      </c>
      <c r="I39" s="11" t="s">
        <v>89</v>
      </c>
      <c r="J39" s="18" t="s">
        <v>90</v>
      </c>
      <c r="K39" s="11" t="s">
        <v>177</v>
      </c>
      <c r="L39" s="11" t="s">
        <v>178</v>
      </c>
      <c r="M39" s="13">
        <v>0</v>
      </c>
      <c r="N39" s="10">
        <v>13242495.840000004</v>
      </c>
      <c r="O39" s="14">
        <v>1</v>
      </c>
      <c r="P39" s="10">
        <v>-70.200000002980232</v>
      </c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5"/>
    </row>
    <row r="40" spans="1:76" x14ac:dyDescent="0.25">
      <c r="A40" s="16"/>
      <c r="B40" s="5" t="s">
        <v>179</v>
      </c>
      <c r="C40" s="6" t="s">
        <v>77</v>
      </c>
      <c r="D40" s="7">
        <v>574</v>
      </c>
      <c r="E40" s="8">
        <v>45425</v>
      </c>
      <c r="F40" s="9">
        <v>45999</v>
      </c>
      <c r="G40" s="10">
        <v>7234583.7699999996</v>
      </c>
      <c r="H40" s="11" t="s">
        <v>98</v>
      </c>
      <c r="I40" s="11" t="s">
        <v>79</v>
      </c>
      <c r="J40" s="12" t="s">
        <v>80</v>
      </c>
      <c r="K40" s="11" t="s">
        <v>81</v>
      </c>
      <c r="L40" s="11" t="s">
        <v>180</v>
      </c>
      <c r="M40" s="13">
        <v>0</v>
      </c>
      <c r="N40" s="10">
        <v>6450491.3100000005</v>
      </c>
      <c r="O40" s="14">
        <v>0.89161885674039287</v>
      </c>
      <c r="P40" s="10">
        <v>784092.45999999903</v>
      </c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5"/>
    </row>
    <row r="41" spans="1:76" x14ac:dyDescent="0.25">
      <c r="A41" s="16"/>
      <c r="B41" s="5" t="s">
        <v>181</v>
      </c>
      <c r="C41" s="6" t="s">
        <v>77</v>
      </c>
      <c r="D41" s="7">
        <v>646</v>
      </c>
      <c r="E41" s="8">
        <v>44831</v>
      </c>
      <c r="F41" s="9">
        <v>45477</v>
      </c>
      <c r="G41" s="10">
        <v>12560309.119999999</v>
      </c>
      <c r="H41" s="11" t="s">
        <v>98</v>
      </c>
      <c r="I41" s="11" t="s">
        <v>99</v>
      </c>
      <c r="J41" s="12" t="s">
        <v>80</v>
      </c>
      <c r="K41" s="11" t="s">
        <v>182</v>
      </c>
      <c r="L41" s="11" t="s">
        <v>180</v>
      </c>
      <c r="M41" s="13">
        <v>0</v>
      </c>
      <c r="N41" s="10">
        <v>11566431.390000001</v>
      </c>
      <c r="O41" s="14">
        <v>0.9208715549510299</v>
      </c>
      <c r="P41" s="10">
        <v>993877.72999999858</v>
      </c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5"/>
    </row>
    <row r="42" spans="1:76" x14ac:dyDescent="0.25">
      <c r="A42" s="16"/>
      <c r="B42" s="5" t="s">
        <v>183</v>
      </c>
      <c r="C42" s="6" t="s">
        <v>77</v>
      </c>
      <c r="D42" s="7">
        <v>633</v>
      </c>
      <c r="E42" s="8">
        <v>44827</v>
      </c>
      <c r="F42" s="9">
        <v>45460</v>
      </c>
      <c r="G42" s="10">
        <v>22472818</v>
      </c>
      <c r="H42" s="11" t="s">
        <v>98</v>
      </c>
      <c r="I42" s="11" t="s">
        <v>99</v>
      </c>
      <c r="J42" s="12" t="s">
        <v>80</v>
      </c>
      <c r="K42" s="11" t="s">
        <v>167</v>
      </c>
      <c r="L42" s="11" t="s">
        <v>180</v>
      </c>
      <c r="M42" s="13">
        <v>0</v>
      </c>
      <c r="N42" s="10">
        <v>20500685.689999994</v>
      </c>
      <c r="O42" s="14">
        <v>0.91224365764898707</v>
      </c>
      <c r="P42" s="10">
        <v>1972132.3100000061</v>
      </c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  <c r="BS42" s="10"/>
      <c r="BT42" s="10"/>
      <c r="BU42" s="10"/>
      <c r="BV42" s="10"/>
      <c r="BW42" s="10"/>
      <c r="BX42" s="15"/>
    </row>
    <row r="43" spans="1:76" x14ac:dyDescent="0.25">
      <c r="A43" s="16"/>
      <c r="B43" s="5" t="s">
        <v>184</v>
      </c>
      <c r="C43" s="6" t="s">
        <v>77</v>
      </c>
      <c r="D43" s="7">
        <v>932</v>
      </c>
      <c r="E43" s="8">
        <v>44769</v>
      </c>
      <c r="F43" s="9">
        <v>45701</v>
      </c>
      <c r="G43" s="10">
        <v>45237596.810000002</v>
      </c>
      <c r="H43" s="11" t="s">
        <v>98</v>
      </c>
      <c r="I43" s="11" t="s">
        <v>99</v>
      </c>
      <c r="J43" s="18" t="s">
        <v>90</v>
      </c>
      <c r="K43" s="11" t="s">
        <v>91</v>
      </c>
      <c r="L43" s="11" t="s">
        <v>185</v>
      </c>
      <c r="M43" s="13">
        <v>0</v>
      </c>
      <c r="N43" s="10">
        <v>43785880.080000006</v>
      </c>
      <c r="O43" s="14">
        <v>0.96790906607843752</v>
      </c>
      <c r="P43" s="10">
        <v>1451716.7299999967</v>
      </c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5"/>
    </row>
    <row r="44" spans="1:76" x14ac:dyDescent="0.25">
      <c r="A44" s="16"/>
      <c r="B44" s="5" t="s">
        <v>186</v>
      </c>
      <c r="C44" s="6" t="s">
        <v>77</v>
      </c>
      <c r="D44" s="7">
        <v>931</v>
      </c>
      <c r="E44" s="8">
        <v>44690</v>
      </c>
      <c r="F44" s="9">
        <v>45621</v>
      </c>
      <c r="G44" s="10">
        <v>34508101.149999999</v>
      </c>
      <c r="H44" s="11" t="s">
        <v>98</v>
      </c>
      <c r="I44" s="11" t="s">
        <v>89</v>
      </c>
      <c r="J44" s="18" t="s">
        <v>90</v>
      </c>
      <c r="K44" s="11" t="s">
        <v>146</v>
      </c>
      <c r="L44" s="11" t="s">
        <v>185</v>
      </c>
      <c r="M44" s="13">
        <v>0</v>
      </c>
      <c r="N44" s="10">
        <v>33048630.330000006</v>
      </c>
      <c r="O44" s="14">
        <v>0.9577064291756896</v>
      </c>
      <c r="P44" s="10">
        <v>1459470.8199999928</v>
      </c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5"/>
    </row>
    <row r="45" spans="1:76" x14ac:dyDescent="0.25">
      <c r="A45" s="16"/>
      <c r="B45" s="5" t="s">
        <v>187</v>
      </c>
      <c r="C45" s="6" t="s">
        <v>77</v>
      </c>
      <c r="D45" s="7">
        <v>601</v>
      </c>
      <c r="E45" s="8">
        <v>45105</v>
      </c>
      <c r="F45" s="9">
        <v>45706</v>
      </c>
      <c r="G45" s="10">
        <v>11494433.26</v>
      </c>
      <c r="H45" s="11" t="s">
        <v>120</v>
      </c>
      <c r="I45" s="11" t="s">
        <v>99</v>
      </c>
      <c r="J45" s="18" t="s">
        <v>90</v>
      </c>
      <c r="K45" s="11" t="s">
        <v>146</v>
      </c>
      <c r="L45" s="11" t="s">
        <v>185</v>
      </c>
      <c r="M45" s="13">
        <v>0</v>
      </c>
      <c r="N45" s="10">
        <v>151308</v>
      </c>
      <c r="O45" s="14">
        <v>1.3163589415629874E-2</v>
      </c>
      <c r="P45" s="10">
        <v>11343125.26</v>
      </c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5"/>
    </row>
    <row r="46" spans="1:76" x14ac:dyDescent="0.25">
      <c r="A46" s="16"/>
      <c r="B46" s="5" t="s">
        <v>188</v>
      </c>
      <c r="C46" s="6" t="s">
        <v>77</v>
      </c>
      <c r="D46" s="7">
        <v>812</v>
      </c>
      <c r="E46" s="8">
        <v>44754</v>
      </c>
      <c r="F46" s="9">
        <v>45566</v>
      </c>
      <c r="G46" s="10">
        <v>20185137.809999999</v>
      </c>
      <c r="H46" s="11" t="s">
        <v>98</v>
      </c>
      <c r="I46" s="11" t="s">
        <v>89</v>
      </c>
      <c r="J46" s="18" t="s">
        <v>90</v>
      </c>
      <c r="K46" s="11" t="s">
        <v>177</v>
      </c>
      <c r="L46" s="11" t="s">
        <v>185</v>
      </c>
      <c r="M46" s="13">
        <v>0</v>
      </c>
      <c r="N46" s="10">
        <v>13332401.599999998</v>
      </c>
      <c r="O46" s="14">
        <v>0.66050584967494941</v>
      </c>
      <c r="P46" s="10">
        <v>6852736.2100000009</v>
      </c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5"/>
    </row>
    <row r="47" spans="1:76" x14ac:dyDescent="0.25">
      <c r="A47" s="16">
        <v>16</v>
      </c>
      <c r="B47" s="5" t="s">
        <v>189</v>
      </c>
      <c r="C47" s="6" t="s">
        <v>77</v>
      </c>
      <c r="D47" s="7">
        <v>1500</v>
      </c>
      <c r="E47" s="8">
        <v>44875</v>
      </c>
      <c r="F47" s="9">
        <v>46375</v>
      </c>
      <c r="G47" s="10">
        <v>48909556.350000001</v>
      </c>
      <c r="H47" s="11" t="s">
        <v>78</v>
      </c>
      <c r="I47" s="11" t="s">
        <v>84</v>
      </c>
      <c r="J47" s="17" t="s">
        <v>85</v>
      </c>
      <c r="K47" s="11" t="s">
        <v>86</v>
      </c>
      <c r="L47" s="11" t="s">
        <v>190</v>
      </c>
      <c r="M47" s="13">
        <v>10584628.26</v>
      </c>
      <c r="N47" s="10">
        <v>32294745.039999995</v>
      </c>
      <c r="O47" s="14">
        <v>0.66029519484692667</v>
      </c>
      <c r="P47" s="10">
        <v>16614811.310000006</v>
      </c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34"/>
    </row>
    <row r="48" spans="1:76" x14ac:dyDescent="0.25">
      <c r="A48" s="16"/>
      <c r="B48" s="5" t="s">
        <v>191</v>
      </c>
      <c r="C48" s="6" t="s">
        <v>77</v>
      </c>
      <c r="D48" s="7">
        <v>863</v>
      </c>
      <c r="E48" s="8">
        <v>44827</v>
      </c>
      <c r="F48" s="9">
        <v>45690</v>
      </c>
      <c r="G48" s="10">
        <v>6478069.4299999997</v>
      </c>
      <c r="H48" s="11" t="s">
        <v>98</v>
      </c>
      <c r="I48" s="11" t="s">
        <v>99</v>
      </c>
      <c r="J48" s="12" t="s">
        <v>80</v>
      </c>
      <c r="K48" s="11" t="s">
        <v>192</v>
      </c>
      <c r="L48" s="11" t="s">
        <v>193</v>
      </c>
      <c r="M48" s="13">
        <v>0</v>
      </c>
      <c r="N48" s="10">
        <v>6523029.6600000001</v>
      </c>
      <c r="O48" s="14">
        <v>1</v>
      </c>
      <c r="P48" s="10">
        <v>-44960.230000000447</v>
      </c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5"/>
    </row>
    <row r="49" spans="1:76" x14ac:dyDescent="0.25">
      <c r="A49" s="16"/>
      <c r="B49" s="5" t="s">
        <v>194</v>
      </c>
      <c r="C49" s="6" t="s">
        <v>77</v>
      </c>
      <c r="D49" s="7">
        <v>360</v>
      </c>
      <c r="E49" s="8">
        <v>44715</v>
      </c>
      <c r="F49" s="9">
        <v>45075</v>
      </c>
      <c r="G49" s="10">
        <v>6055289.3399999999</v>
      </c>
      <c r="H49" s="11" t="s">
        <v>98</v>
      </c>
      <c r="I49" s="11" t="s">
        <v>84</v>
      </c>
      <c r="J49" s="17" t="s">
        <v>85</v>
      </c>
      <c r="K49" s="11" t="s">
        <v>195</v>
      </c>
      <c r="L49" s="11" t="s">
        <v>193</v>
      </c>
      <c r="M49" s="13">
        <v>0</v>
      </c>
      <c r="N49" s="10">
        <v>6007931.0199999996</v>
      </c>
      <c r="O49" s="14">
        <v>0.9921790161723304</v>
      </c>
      <c r="P49" s="10">
        <v>47358.320000000298</v>
      </c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5"/>
    </row>
    <row r="50" spans="1:76" x14ac:dyDescent="0.25">
      <c r="A50" s="16"/>
      <c r="B50" s="5" t="s">
        <v>196</v>
      </c>
      <c r="C50" s="6" t="s">
        <v>77</v>
      </c>
      <c r="D50" s="7">
        <v>762</v>
      </c>
      <c r="E50" s="8">
        <v>44727</v>
      </c>
      <c r="F50" s="9">
        <v>45489</v>
      </c>
      <c r="G50" s="10">
        <v>5722613.8700000001</v>
      </c>
      <c r="H50" s="11" t="s">
        <v>98</v>
      </c>
      <c r="I50" s="11" t="s">
        <v>89</v>
      </c>
      <c r="J50" s="17" t="s">
        <v>85</v>
      </c>
      <c r="K50" s="11" t="s">
        <v>197</v>
      </c>
      <c r="L50" s="11" t="s">
        <v>198</v>
      </c>
      <c r="M50" s="13">
        <v>0</v>
      </c>
      <c r="N50" s="10">
        <v>5551029.21</v>
      </c>
      <c r="O50" s="14">
        <v>0.97001638343982832</v>
      </c>
      <c r="P50" s="10">
        <v>171584.66000000015</v>
      </c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10"/>
      <c r="AS50" s="10"/>
      <c r="AT50" s="10"/>
      <c r="AU50" s="10"/>
      <c r="AV50" s="10"/>
      <c r="AW50" s="10"/>
      <c r="AX50" s="10"/>
      <c r="AY50" s="10"/>
      <c r="AZ50" s="10"/>
      <c r="BA50" s="10"/>
      <c r="BB50" s="10"/>
      <c r="BC50" s="10"/>
      <c r="BD50" s="10"/>
      <c r="BE50" s="10"/>
      <c r="BF50" s="10"/>
      <c r="BG50" s="10"/>
      <c r="BH50" s="10"/>
      <c r="BI50" s="10"/>
      <c r="BJ50" s="10"/>
      <c r="BK50" s="10"/>
      <c r="BL50" s="10"/>
      <c r="BM50" s="10"/>
      <c r="BN50" s="10"/>
      <c r="BO50" s="10"/>
      <c r="BP50" s="10"/>
      <c r="BQ50" s="10"/>
      <c r="BR50" s="10"/>
      <c r="BS50" s="10"/>
      <c r="BT50" s="10"/>
      <c r="BU50" s="10"/>
      <c r="BV50" s="10"/>
      <c r="BW50" s="10"/>
      <c r="BX50" s="15"/>
    </row>
    <row r="51" spans="1:76" x14ac:dyDescent="0.25">
      <c r="A51" s="16"/>
      <c r="B51" s="5" t="s">
        <v>199</v>
      </c>
      <c r="C51" s="6" t="s">
        <v>77</v>
      </c>
      <c r="D51" s="7">
        <v>571</v>
      </c>
      <c r="E51" s="8">
        <v>44777</v>
      </c>
      <c r="F51" s="9">
        <v>45348</v>
      </c>
      <c r="G51" s="10">
        <v>5581731.2999999998</v>
      </c>
      <c r="H51" s="11" t="s">
        <v>98</v>
      </c>
      <c r="I51" s="11" t="s">
        <v>89</v>
      </c>
      <c r="J51" s="12" t="s">
        <v>80</v>
      </c>
      <c r="K51" s="11" t="s">
        <v>81</v>
      </c>
      <c r="L51" s="11" t="s">
        <v>200</v>
      </c>
      <c r="M51" s="13">
        <v>0</v>
      </c>
      <c r="N51" s="10">
        <v>5580983.9399999995</v>
      </c>
      <c r="O51" s="14">
        <v>0.99986610605924353</v>
      </c>
      <c r="P51" s="10">
        <v>747.36000000033528</v>
      </c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10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  <c r="BH51" s="10"/>
      <c r="BI51" s="10"/>
      <c r="BJ51" s="10"/>
      <c r="BK51" s="10"/>
      <c r="BL51" s="10"/>
      <c r="BM51" s="10"/>
      <c r="BN51" s="10"/>
      <c r="BO51" s="10"/>
      <c r="BP51" s="10"/>
      <c r="BQ51" s="10"/>
      <c r="BR51" s="10"/>
      <c r="BS51" s="10"/>
      <c r="BT51" s="10"/>
      <c r="BU51" s="10"/>
      <c r="BV51" s="10"/>
      <c r="BW51" s="10"/>
      <c r="BX51" s="15"/>
    </row>
    <row r="52" spans="1:76" x14ac:dyDescent="0.25">
      <c r="A52" s="16"/>
      <c r="B52" s="5" t="s">
        <v>201</v>
      </c>
      <c r="C52" s="6" t="s">
        <v>77</v>
      </c>
      <c r="D52" s="7">
        <v>690</v>
      </c>
      <c r="E52" s="8">
        <v>44708</v>
      </c>
      <c r="F52" s="9">
        <v>45398</v>
      </c>
      <c r="G52" s="10">
        <v>13208831.359999999</v>
      </c>
      <c r="H52" s="11" t="s">
        <v>98</v>
      </c>
      <c r="I52" s="11" t="s">
        <v>99</v>
      </c>
      <c r="J52" s="17" t="s">
        <v>85</v>
      </c>
      <c r="K52" s="11" t="s">
        <v>202</v>
      </c>
      <c r="L52" s="11" t="s">
        <v>200</v>
      </c>
      <c r="M52" s="13">
        <v>0</v>
      </c>
      <c r="N52" s="10">
        <v>12032786.93</v>
      </c>
      <c r="O52" s="14">
        <v>0.91096529299621554</v>
      </c>
      <c r="P52" s="10">
        <v>1176044.4299999997</v>
      </c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  <c r="AR52" s="10"/>
      <c r="AS52" s="10"/>
      <c r="AT52" s="10"/>
      <c r="AU52" s="10"/>
      <c r="AV52" s="10"/>
      <c r="AW52" s="10"/>
      <c r="AX52" s="10"/>
      <c r="AY52" s="10"/>
      <c r="AZ52" s="10"/>
      <c r="BA52" s="10"/>
      <c r="BB52" s="10"/>
      <c r="BC52" s="10"/>
      <c r="BD52" s="10"/>
      <c r="BE52" s="10"/>
      <c r="BF52" s="10"/>
      <c r="BG52" s="10"/>
      <c r="BH52" s="10"/>
      <c r="BI52" s="10"/>
      <c r="BJ52" s="10"/>
      <c r="BK52" s="10"/>
      <c r="BL52" s="10"/>
      <c r="BM52" s="10"/>
      <c r="BN52" s="10"/>
      <c r="BO52" s="10"/>
      <c r="BP52" s="10"/>
      <c r="BQ52" s="10"/>
      <c r="BR52" s="10"/>
      <c r="BS52" s="10"/>
      <c r="BT52" s="10"/>
      <c r="BU52" s="10"/>
      <c r="BV52" s="10"/>
      <c r="BW52" s="10"/>
      <c r="BX52" s="15"/>
    </row>
    <row r="53" spans="1:76" x14ac:dyDescent="0.25">
      <c r="A53" s="16">
        <v>17</v>
      </c>
      <c r="B53" s="5" t="s">
        <v>203</v>
      </c>
      <c r="C53" s="6" t="s">
        <v>77</v>
      </c>
      <c r="D53" s="7">
        <v>540</v>
      </c>
      <c r="E53" s="8">
        <v>45498</v>
      </c>
      <c r="F53" s="9">
        <v>46038</v>
      </c>
      <c r="G53" s="10">
        <v>113557951.65000001</v>
      </c>
      <c r="H53" s="11" t="s">
        <v>78</v>
      </c>
      <c r="I53" s="11" t="s">
        <v>89</v>
      </c>
      <c r="J53" s="18" t="s">
        <v>90</v>
      </c>
      <c r="K53" s="11" t="s">
        <v>91</v>
      </c>
      <c r="L53" s="11" t="s">
        <v>200</v>
      </c>
      <c r="M53" s="13">
        <v>65457023.329999991</v>
      </c>
      <c r="N53" s="10">
        <v>111124067.68000001</v>
      </c>
      <c r="O53" s="14">
        <v>0.97856703176980919</v>
      </c>
      <c r="P53" s="10">
        <v>2433883.9699999988</v>
      </c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10"/>
      <c r="AS53" s="10"/>
      <c r="AT53" s="10"/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10"/>
      <c r="BF53" s="10"/>
      <c r="BG53" s="10"/>
      <c r="BH53" s="10"/>
      <c r="BI53" s="10"/>
      <c r="BJ53" s="10"/>
      <c r="BK53" s="10"/>
      <c r="BL53" s="10"/>
      <c r="BM53" s="10"/>
      <c r="BN53" s="10"/>
      <c r="BO53" s="10"/>
      <c r="BP53" s="10"/>
      <c r="BQ53" s="10"/>
      <c r="BR53" s="10"/>
      <c r="BS53" s="10"/>
      <c r="BT53" s="10"/>
      <c r="BU53" s="10"/>
      <c r="BV53" s="10"/>
      <c r="BW53" s="10"/>
      <c r="BX53" s="34"/>
    </row>
    <row r="54" spans="1:76" x14ac:dyDescent="0.25">
      <c r="A54" s="16">
        <v>18</v>
      </c>
      <c r="B54" s="5" t="s">
        <v>204</v>
      </c>
      <c r="C54" s="6" t="s">
        <v>77</v>
      </c>
      <c r="D54" s="7">
        <v>1266</v>
      </c>
      <c r="E54" s="8">
        <v>44742</v>
      </c>
      <c r="F54" s="9">
        <v>46008</v>
      </c>
      <c r="G54" s="10">
        <v>12950372.720000001</v>
      </c>
      <c r="H54" s="11" t="s">
        <v>78</v>
      </c>
      <c r="I54" s="11" t="s">
        <v>99</v>
      </c>
      <c r="J54" s="18" t="s">
        <v>90</v>
      </c>
      <c r="K54" s="11" t="s">
        <v>96</v>
      </c>
      <c r="L54" s="11" t="s">
        <v>200</v>
      </c>
      <c r="M54" s="13">
        <v>0</v>
      </c>
      <c r="N54" s="10">
        <v>8552770.9100000001</v>
      </c>
      <c r="O54" s="14">
        <v>0.6604266220686813</v>
      </c>
      <c r="P54" s="10">
        <v>4397601.8100000005</v>
      </c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  <c r="AQ54" s="10"/>
      <c r="AR54" s="10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10"/>
      <c r="BF54" s="10"/>
      <c r="BG54" s="10"/>
      <c r="BH54" s="10"/>
      <c r="BI54" s="10"/>
      <c r="BJ54" s="10"/>
      <c r="BK54" s="10"/>
      <c r="BL54" s="10"/>
      <c r="BM54" s="10"/>
      <c r="BN54" s="10"/>
      <c r="BO54" s="10"/>
      <c r="BP54" s="10"/>
      <c r="BQ54" s="10"/>
      <c r="BR54" s="10"/>
      <c r="BS54" s="10"/>
      <c r="BT54" s="10"/>
      <c r="BU54" s="10"/>
      <c r="BV54" s="10"/>
      <c r="BW54" s="10"/>
      <c r="BX54" s="34"/>
    </row>
    <row r="55" spans="1:76" x14ac:dyDescent="0.25">
      <c r="A55" s="16">
        <v>19</v>
      </c>
      <c r="B55" s="5" t="s">
        <v>205</v>
      </c>
      <c r="C55" s="6" t="s">
        <v>77</v>
      </c>
      <c r="D55" s="7">
        <v>903</v>
      </c>
      <c r="E55" s="8">
        <v>45155</v>
      </c>
      <c r="F55" s="9">
        <v>46058</v>
      </c>
      <c r="G55" s="10">
        <v>34662990.030000001</v>
      </c>
      <c r="H55" s="11" t="s">
        <v>78</v>
      </c>
      <c r="I55" s="11" t="s">
        <v>99</v>
      </c>
      <c r="J55" s="12" t="s">
        <v>80</v>
      </c>
      <c r="K55" s="11" t="s">
        <v>206</v>
      </c>
      <c r="L55" s="11" t="s">
        <v>200</v>
      </c>
      <c r="M55" s="13">
        <v>17908038.489999998</v>
      </c>
      <c r="N55" s="10">
        <v>29783885.439999998</v>
      </c>
      <c r="O55" s="14">
        <v>0.85924166998354001</v>
      </c>
      <c r="P55" s="10">
        <v>4879104.5900000036</v>
      </c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10"/>
      <c r="BF55" s="10"/>
      <c r="BG55" s="10"/>
      <c r="BH55" s="10"/>
      <c r="BI55" s="10"/>
      <c r="BJ55" s="10"/>
      <c r="BK55" s="10"/>
      <c r="BL55" s="10"/>
      <c r="BM55" s="10"/>
      <c r="BN55" s="10"/>
      <c r="BO55" s="10"/>
      <c r="BP55" s="10"/>
      <c r="BQ55" s="10"/>
      <c r="BR55" s="10"/>
      <c r="BS55" s="10"/>
      <c r="BT55" s="10"/>
      <c r="BU55" s="10"/>
      <c r="BV55" s="10"/>
      <c r="BW55" s="10"/>
      <c r="BX55" s="34"/>
    </row>
    <row r="56" spans="1:76" x14ac:dyDescent="0.25">
      <c r="A56" s="16"/>
      <c r="B56" s="5" t="s">
        <v>207</v>
      </c>
      <c r="C56" s="6" t="s">
        <v>77</v>
      </c>
      <c r="D56" s="7">
        <v>844</v>
      </c>
      <c r="E56" s="8">
        <v>45007</v>
      </c>
      <c r="F56" s="9">
        <v>45851</v>
      </c>
      <c r="G56" s="10">
        <v>20859068.440000001</v>
      </c>
      <c r="H56" s="11" t="s">
        <v>98</v>
      </c>
      <c r="I56" s="11" t="s">
        <v>99</v>
      </c>
      <c r="J56" s="18" t="s">
        <v>90</v>
      </c>
      <c r="K56" s="11" t="s">
        <v>177</v>
      </c>
      <c r="L56" s="11" t="s">
        <v>200</v>
      </c>
      <c r="M56" s="13">
        <v>1257033.71</v>
      </c>
      <c r="N56" s="10">
        <v>20859058.41</v>
      </c>
      <c r="O56" s="14">
        <v>0.99999951915398189</v>
      </c>
      <c r="P56" s="10">
        <v>10.030000001192093</v>
      </c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10"/>
      <c r="BF56" s="10"/>
      <c r="BG56" s="10"/>
      <c r="BH56" s="10"/>
      <c r="BI56" s="10"/>
      <c r="BJ56" s="10"/>
      <c r="BK56" s="10"/>
      <c r="BL56" s="10"/>
      <c r="BM56" s="10"/>
      <c r="BN56" s="10"/>
      <c r="BO56" s="10"/>
      <c r="BP56" s="10"/>
      <c r="BQ56" s="10"/>
      <c r="BR56" s="10"/>
      <c r="BS56" s="10"/>
      <c r="BT56" s="10"/>
      <c r="BU56" s="10"/>
      <c r="BV56" s="10"/>
      <c r="BW56" s="10"/>
      <c r="BX56" s="15"/>
    </row>
    <row r="57" spans="1:76" x14ac:dyDescent="0.25">
      <c r="A57" s="16">
        <v>20</v>
      </c>
      <c r="B57" s="5" t="s">
        <v>208</v>
      </c>
      <c r="C57" s="6" t="s">
        <v>77</v>
      </c>
      <c r="D57" s="7">
        <v>301</v>
      </c>
      <c r="E57" s="8">
        <v>45865</v>
      </c>
      <c r="F57" s="9">
        <v>46166</v>
      </c>
      <c r="G57" s="10">
        <v>7430869.3200000003</v>
      </c>
      <c r="H57" s="11" t="s">
        <v>78</v>
      </c>
      <c r="I57" s="11" t="s">
        <v>89</v>
      </c>
      <c r="J57" s="18" t="s">
        <v>90</v>
      </c>
      <c r="K57" s="11" t="s">
        <v>177</v>
      </c>
      <c r="L57" s="11" t="s">
        <v>200</v>
      </c>
      <c r="M57" s="13">
        <v>122778.19</v>
      </c>
      <c r="N57" s="10">
        <v>122778.19</v>
      </c>
      <c r="O57" s="14">
        <v>1.6522722270131376E-2</v>
      </c>
      <c r="P57" s="10">
        <v>7308091.1299999999</v>
      </c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/>
      <c r="AR57" s="10"/>
      <c r="AS57" s="10"/>
      <c r="AT57" s="10"/>
      <c r="AU57" s="10"/>
      <c r="AV57" s="10"/>
      <c r="AW57" s="10"/>
      <c r="AX57" s="10"/>
      <c r="AY57" s="10"/>
      <c r="AZ57" s="10"/>
      <c r="BA57" s="10"/>
      <c r="BB57" s="10"/>
      <c r="BC57" s="10"/>
      <c r="BD57" s="10"/>
      <c r="BE57" s="10"/>
      <c r="BF57" s="10"/>
      <c r="BG57" s="10"/>
      <c r="BH57" s="10"/>
      <c r="BI57" s="10"/>
      <c r="BJ57" s="10"/>
      <c r="BK57" s="10"/>
      <c r="BL57" s="10"/>
      <c r="BM57" s="10"/>
      <c r="BN57" s="10"/>
      <c r="BO57" s="10"/>
      <c r="BP57" s="10"/>
      <c r="BQ57" s="10"/>
      <c r="BR57" s="10"/>
      <c r="BS57" s="10"/>
      <c r="BT57" s="10"/>
      <c r="BU57" s="10"/>
      <c r="BV57" s="10"/>
      <c r="BW57" s="10"/>
      <c r="BX57" s="34"/>
    </row>
    <row r="58" spans="1:76" x14ac:dyDescent="0.25">
      <c r="A58" s="16"/>
      <c r="B58" s="5" t="s">
        <v>209</v>
      </c>
      <c r="C58" s="6" t="s">
        <v>77</v>
      </c>
      <c r="D58" s="7">
        <v>1230</v>
      </c>
      <c r="E58" s="8">
        <v>44792</v>
      </c>
      <c r="F58" s="9">
        <v>46022</v>
      </c>
      <c r="G58" s="10">
        <v>81950979.230000004</v>
      </c>
      <c r="H58" s="11" t="s">
        <v>98</v>
      </c>
      <c r="I58" s="11" t="s">
        <v>99</v>
      </c>
      <c r="J58" s="18" t="s">
        <v>90</v>
      </c>
      <c r="K58" s="11" t="s">
        <v>210</v>
      </c>
      <c r="L58" s="11" t="s">
        <v>200</v>
      </c>
      <c r="M58" s="13">
        <v>14479558.67</v>
      </c>
      <c r="N58" s="10">
        <v>81959611.000000015</v>
      </c>
      <c r="O58" s="14">
        <v>1</v>
      </c>
      <c r="P58" s="10">
        <v>-8631.7700000107288</v>
      </c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  <c r="AQ58" s="10"/>
      <c r="AR58" s="10"/>
      <c r="AS58" s="10"/>
      <c r="AT58" s="10"/>
      <c r="AU58" s="10"/>
      <c r="AV58" s="10"/>
      <c r="AW58" s="10"/>
      <c r="AX58" s="10"/>
      <c r="AY58" s="10"/>
      <c r="AZ58" s="10"/>
      <c r="BA58" s="10"/>
      <c r="BB58" s="10"/>
      <c r="BC58" s="10"/>
      <c r="BD58" s="10"/>
      <c r="BE58" s="10"/>
      <c r="BF58" s="10"/>
      <c r="BG58" s="10"/>
      <c r="BH58" s="10"/>
      <c r="BI58" s="10"/>
      <c r="BJ58" s="10"/>
      <c r="BK58" s="10"/>
      <c r="BL58" s="10"/>
      <c r="BM58" s="10"/>
      <c r="BN58" s="10"/>
      <c r="BO58" s="10"/>
      <c r="BP58" s="10"/>
      <c r="BQ58" s="10"/>
      <c r="BR58" s="10"/>
      <c r="BS58" s="10"/>
      <c r="BT58" s="10"/>
      <c r="BU58" s="10"/>
      <c r="BV58" s="10"/>
      <c r="BW58" s="10"/>
      <c r="BX58" s="15"/>
    </row>
    <row r="59" spans="1:76" x14ac:dyDescent="0.25">
      <c r="A59" s="16"/>
      <c r="B59" s="5" t="s">
        <v>211</v>
      </c>
      <c r="C59" s="6" t="s">
        <v>77</v>
      </c>
      <c r="D59" s="7">
        <v>1220</v>
      </c>
      <c r="E59" s="8">
        <v>44733</v>
      </c>
      <c r="F59" s="9">
        <v>45953</v>
      </c>
      <c r="G59" s="10">
        <v>11551184.439999999</v>
      </c>
      <c r="H59" s="11" t="s">
        <v>98</v>
      </c>
      <c r="I59" s="11" t="s">
        <v>99</v>
      </c>
      <c r="J59" s="12" t="s">
        <v>80</v>
      </c>
      <c r="K59" s="11" t="s">
        <v>164</v>
      </c>
      <c r="L59" s="11" t="s">
        <v>212</v>
      </c>
      <c r="M59" s="13">
        <v>0</v>
      </c>
      <c r="N59" s="10">
        <v>11551184.42</v>
      </c>
      <c r="O59" s="14">
        <v>0.99999999826857588</v>
      </c>
      <c r="P59" s="10">
        <v>1.9999999552965164E-2</v>
      </c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  <c r="AQ59" s="10"/>
      <c r="AR59" s="10"/>
      <c r="AS59" s="10"/>
      <c r="AT59" s="10"/>
      <c r="AU59" s="10"/>
      <c r="AV59" s="10"/>
      <c r="AW59" s="10"/>
      <c r="AX59" s="10"/>
      <c r="AY59" s="10"/>
      <c r="AZ59" s="10"/>
      <c r="BA59" s="10"/>
      <c r="BB59" s="10"/>
      <c r="BC59" s="10"/>
      <c r="BD59" s="10"/>
      <c r="BE59" s="10"/>
      <c r="BF59" s="10"/>
      <c r="BG59" s="10"/>
      <c r="BH59" s="10"/>
      <c r="BI59" s="10"/>
      <c r="BJ59" s="10"/>
      <c r="BK59" s="10"/>
      <c r="BL59" s="10"/>
      <c r="BM59" s="10"/>
      <c r="BN59" s="10"/>
      <c r="BO59" s="10"/>
      <c r="BP59" s="10"/>
      <c r="BQ59" s="10"/>
      <c r="BR59" s="10"/>
      <c r="BS59" s="10"/>
      <c r="BT59" s="10"/>
      <c r="BU59" s="10"/>
      <c r="BV59" s="10"/>
      <c r="BW59" s="10"/>
      <c r="BX59" s="15"/>
    </row>
    <row r="60" spans="1:76" x14ac:dyDescent="0.25">
      <c r="A60" s="16"/>
      <c r="B60" s="5" t="s">
        <v>213</v>
      </c>
      <c r="C60" s="6" t="s">
        <v>77</v>
      </c>
      <c r="D60" s="7">
        <v>1236</v>
      </c>
      <c r="E60" s="8">
        <v>44763</v>
      </c>
      <c r="F60" s="9">
        <v>45999</v>
      </c>
      <c r="G60" s="10">
        <v>44149151.5</v>
      </c>
      <c r="H60" s="11" t="s">
        <v>98</v>
      </c>
      <c r="I60" s="11" t="s">
        <v>126</v>
      </c>
      <c r="J60" s="17" t="s">
        <v>85</v>
      </c>
      <c r="K60" s="11" t="s">
        <v>86</v>
      </c>
      <c r="L60" s="11" t="s">
        <v>214</v>
      </c>
      <c r="M60" s="13">
        <v>14120676.049999999</v>
      </c>
      <c r="N60" s="10">
        <v>41516316.780000001</v>
      </c>
      <c r="O60" s="14">
        <v>0.94036499840772703</v>
      </c>
      <c r="P60" s="10">
        <v>2632834.7199999988</v>
      </c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  <c r="AQ60" s="10"/>
      <c r="AR60" s="10"/>
      <c r="AS60" s="10"/>
      <c r="AT60" s="10"/>
      <c r="AU60" s="10"/>
      <c r="AV60" s="10"/>
      <c r="AW60" s="10"/>
      <c r="AX60" s="10"/>
      <c r="AY60" s="10"/>
      <c r="AZ60" s="10"/>
      <c r="BA60" s="10"/>
      <c r="BB60" s="10"/>
      <c r="BC60" s="10"/>
      <c r="BD60" s="10"/>
      <c r="BE60" s="10"/>
      <c r="BF60" s="10"/>
      <c r="BG60" s="10"/>
      <c r="BH60" s="10"/>
      <c r="BI60" s="10"/>
      <c r="BJ60" s="10"/>
      <c r="BK60" s="10"/>
      <c r="BL60" s="10"/>
      <c r="BM60" s="10"/>
      <c r="BN60" s="10"/>
      <c r="BO60" s="10"/>
      <c r="BP60" s="10"/>
      <c r="BQ60" s="10"/>
      <c r="BR60" s="10"/>
      <c r="BS60" s="10"/>
      <c r="BT60" s="10"/>
      <c r="BU60" s="10"/>
      <c r="BV60" s="10"/>
      <c r="BW60" s="10"/>
      <c r="BX60" s="15"/>
    </row>
    <row r="61" spans="1:76" x14ac:dyDescent="0.25">
      <c r="A61" s="16"/>
      <c r="B61" s="5" t="s">
        <v>215</v>
      </c>
      <c r="C61" s="6" t="s">
        <v>77</v>
      </c>
      <c r="D61" s="7">
        <v>721</v>
      </c>
      <c r="E61" s="8">
        <v>44789</v>
      </c>
      <c r="F61" s="9">
        <v>45510</v>
      </c>
      <c r="G61" s="10">
        <v>89008310.650000006</v>
      </c>
      <c r="H61" s="11" t="s">
        <v>120</v>
      </c>
      <c r="I61" s="11" t="s">
        <v>126</v>
      </c>
      <c r="J61" s="17" t="s">
        <v>85</v>
      </c>
      <c r="K61" s="11" t="s">
        <v>86</v>
      </c>
      <c r="L61" s="11" t="s">
        <v>216</v>
      </c>
      <c r="M61" s="13">
        <v>0</v>
      </c>
      <c r="N61" s="10">
        <v>64026819.339999996</v>
      </c>
      <c r="O61" s="14">
        <v>0.71933529433860788</v>
      </c>
      <c r="P61" s="10">
        <v>24981491.31000001</v>
      </c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  <c r="AQ61" s="10"/>
      <c r="AR61" s="10"/>
      <c r="AS61" s="10"/>
      <c r="AT61" s="10"/>
      <c r="AU61" s="10"/>
      <c r="AV61" s="10"/>
      <c r="AW61" s="10"/>
      <c r="AX61" s="10"/>
      <c r="AY61" s="10"/>
      <c r="AZ61" s="10"/>
      <c r="BA61" s="10"/>
      <c r="BB61" s="10"/>
      <c r="BC61" s="10"/>
      <c r="BD61" s="10"/>
      <c r="BE61" s="10"/>
      <c r="BF61" s="10"/>
      <c r="BG61" s="10"/>
      <c r="BH61" s="10"/>
      <c r="BI61" s="10"/>
      <c r="BJ61" s="10"/>
      <c r="BK61" s="10"/>
      <c r="BL61" s="10"/>
      <c r="BM61" s="10"/>
      <c r="BN61" s="10"/>
      <c r="BO61" s="10"/>
      <c r="BP61" s="10"/>
      <c r="BQ61" s="10"/>
      <c r="BR61" s="10"/>
      <c r="BS61" s="10"/>
      <c r="BT61" s="10"/>
      <c r="BU61" s="10"/>
      <c r="BV61" s="10"/>
      <c r="BW61" s="10"/>
      <c r="BX61" s="15"/>
    </row>
    <row r="62" spans="1:76" x14ac:dyDescent="0.25">
      <c r="A62" s="16">
        <v>21</v>
      </c>
      <c r="B62" s="5" t="s">
        <v>217</v>
      </c>
      <c r="C62" s="6" t="s">
        <v>77</v>
      </c>
      <c r="D62" s="7">
        <v>1547</v>
      </c>
      <c r="E62" s="8">
        <v>44623</v>
      </c>
      <c r="F62" s="9">
        <v>46170</v>
      </c>
      <c r="G62" s="10">
        <v>65678550.130000003</v>
      </c>
      <c r="H62" s="11" t="s">
        <v>78</v>
      </c>
      <c r="I62" s="11" t="s">
        <v>79</v>
      </c>
      <c r="J62" s="12" t="s">
        <v>80</v>
      </c>
      <c r="K62" s="11" t="s">
        <v>218</v>
      </c>
      <c r="L62" s="11" t="s">
        <v>216</v>
      </c>
      <c r="M62" s="13">
        <v>-748873.51</v>
      </c>
      <c r="N62" s="10">
        <v>23692547.440000001</v>
      </c>
      <c r="O62" s="14">
        <v>0.36073493390314582</v>
      </c>
      <c r="P62" s="10">
        <v>41986002.689999998</v>
      </c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10"/>
      <c r="AT62" s="10"/>
      <c r="AU62" s="10"/>
      <c r="AV62" s="10"/>
      <c r="AW62" s="10"/>
      <c r="AX62" s="10"/>
      <c r="AY62" s="10"/>
      <c r="AZ62" s="10"/>
      <c r="BA62" s="10"/>
      <c r="BB62" s="10"/>
      <c r="BC62" s="10"/>
      <c r="BD62" s="10"/>
      <c r="BE62" s="10"/>
      <c r="BF62" s="10"/>
      <c r="BG62" s="10"/>
      <c r="BH62" s="10"/>
      <c r="BI62" s="10"/>
      <c r="BJ62" s="10"/>
      <c r="BK62" s="10"/>
      <c r="BL62" s="10"/>
      <c r="BM62" s="10"/>
      <c r="BN62" s="10"/>
      <c r="BO62" s="10"/>
      <c r="BP62" s="10"/>
      <c r="BQ62" s="10"/>
      <c r="BR62" s="10"/>
      <c r="BS62" s="10"/>
      <c r="BT62" s="10"/>
      <c r="BU62" s="10"/>
      <c r="BV62" s="10"/>
      <c r="BW62" s="10"/>
      <c r="BX62" s="34"/>
    </row>
    <row r="63" spans="1:76" x14ac:dyDescent="0.25">
      <c r="A63" s="16"/>
      <c r="B63" s="5" t="s">
        <v>219</v>
      </c>
      <c r="C63" s="6" t="s">
        <v>77</v>
      </c>
      <c r="D63" s="7">
        <v>1001</v>
      </c>
      <c r="E63" s="8">
        <v>44722</v>
      </c>
      <c r="F63" s="9">
        <v>45723</v>
      </c>
      <c r="G63" s="10">
        <v>18264452.890000001</v>
      </c>
      <c r="H63" s="11" t="s">
        <v>98</v>
      </c>
      <c r="I63" s="11" t="s">
        <v>79</v>
      </c>
      <c r="J63" s="12" t="s">
        <v>80</v>
      </c>
      <c r="K63" s="11" t="s">
        <v>218</v>
      </c>
      <c r="L63" s="11" t="s">
        <v>220</v>
      </c>
      <c r="M63" s="13">
        <v>0</v>
      </c>
      <c r="N63" s="10">
        <v>18264452.889999997</v>
      </c>
      <c r="O63" s="14">
        <v>0.99999999999999989</v>
      </c>
      <c r="P63" s="10">
        <v>3.7252902984619141E-9</v>
      </c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  <c r="AR63" s="10"/>
      <c r="AS63" s="10"/>
      <c r="AT63" s="10"/>
      <c r="AU63" s="10"/>
      <c r="AV63" s="10"/>
      <c r="AW63" s="10"/>
      <c r="AX63" s="10"/>
      <c r="AY63" s="10"/>
      <c r="AZ63" s="10"/>
      <c r="BA63" s="10"/>
      <c r="BB63" s="10"/>
      <c r="BC63" s="10"/>
      <c r="BD63" s="10"/>
      <c r="BE63" s="10"/>
      <c r="BF63" s="10"/>
      <c r="BG63" s="10"/>
      <c r="BH63" s="10"/>
      <c r="BI63" s="10"/>
      <c r="BJ63" s="10"/>
      <c r="BK63" s="10"/>
      <c r="BL63" s="10"/>
      <c r="BM63" s="10"/>
      <c r="BN63" s="10"/>
      <c r="BO63" s="10"/>
      <c r="BP63" s="10"/>
      <c r="BQ63" s="10"/>
      <c r="BR63" s="10"/>
      <c r="BS63" s="10"/>
      <c r="BT63" s="10"/>
      <c r="BU63" s="10"/>
      <c r="BV63" s="10"/>
      <c r="BW63" s="10"/>
      <c r="BX63" s="15"/>
    </row>
    <row r="64" spans="1:76" x14ac:dyDescent="0.25">
      <c r="A64" s="16"/>
      <c r="B64" s="5" t="s">
        <v>221</v>
      </c>
      <c r="C64" s="6" t="s">
        <v>77</v>
      </c>
      <c r="D64" s="7">
        <v>603</v>
      </c>
      <c r="E64" s="8">
        <v>44986</v>
      </c>
      <c r="F64" s="9">
        <v>45589</v>
      </c>
      <c r="G64" s="10">
        <v>90986818.170000002</v>
      </c>
      <c r="H64" s="11" t="s">
        <v>98</v>
      </c>
      <c r="I64" s="11" t="s">
        <v>99</v>
      </c>
      <c r="J64" s="18" t="s">
        <v>90</v>
      </c>
      <c r="K64" s="11" t="s">
        <v>91</v>
      </c>
      <c r="L64" s="11" t="s">
        <v>222</v>
      </c>
      <c r="M64" s="13">
        <v>0</v>
      </c>
      <c r="N64" s="10">
        <v>88995375.530000016</v>
      </c>
      <c r="O64" s="14">
        <v>0.97811284447512858</v>
      </c>
      <c r="P64" s="10">
        <v>1991442.6399999857</v>
      </c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  <c r="AR64" s="10"/>
      <c r="AS64" s="10"/>
      <c r="AT64" s="10"/>
      <c r="AU64" s="10"/>
      <c r="AV64" s="10"/>
      <c r="AW64" s="10"/>
      <c r="AX64" s="10"/>
      <c r="AY64" s="10"/>
      <c r="AZ64" s="10"/>
      <c r="BA64" s="10"/>
      <c r="BB64" s="10"/>
      <c r="BC64" s="10"/>
      <c r="BD64" s="10"/>
      <c r="BE64" s="10"/>
      <c r="BF64" s="10"/>
      <c r="BG64" s="10"/>
      <c r="BH64" s="10"/>
      <c r="BI64" s="10"/>
      <c r="BJ64" s="10"/>
      <c r="BK64" s="10"/>
      <c r="BL64" s="10"/>
      <c r="BM64" s="10"/>
      <c r="BN64" s="10"/>
      <c r="BO64" s="10"/>
      <c r="BP64" s="10"/>
      <c r="BQ64" s="10"/>
      <c r="BR64" s="10"/>
      <c r="BS64" s="10"/>
      <c r="BT64" s="10"/>
      <c r="BU64" s="10"/>
      <c r="BV64" s="10"/>
      <c r="BW64" s="10"/>
      <c r="BX64" s="15"/>
    </row>
    <row r="65" spans="1:76" x14ac:dyDescent="0.25">
      <c r="A65" s="16"/>
      <c r="B65" s="5" t="s">
        <v>223</v>
      </c>
      <c r="C65" s="6" t="s">
        <v>77</v>
      </c>
      <c r="D65" s="7">
        <v>850</v>
      </c>
      <c r="E65" s="8">
        <v>44648</v>
      </c>
      <c r="F65" s="9">
        <v>45498</v>
      </c>
      <c r="G65" s="10">
        <v>36880209</v>
      </c>
      <c r="H65" s="11" t="s">
        <v>98</v>
      </c>
      <c r="I65" s="11" t="s">
        <v>89</v>
      </c>
      <c r="J65" s="18" t="s">
        <v>90</v>
      </c>
      <c r="K65" s="11" t="s">
        <v>148</v>
      </c>
      <c r="L65" s="11" t="s">
        <v>222</v>
      </c>
      <c r="M65" s="13">
        <v>0</v>
      </c>
      <c r="N65" s="10">
        <v>35196032.93</v>
      </c>
      <c r="O65" s="14">
        <v>0.95433387945279802</v>
      </c>
      <c r="P65" s="10">
        <v>1684176.0700000003</v>
      </c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10"/>
      <c r="AT65" s="10"/>
      <c r="AU65" s="10"/>
      <c r="AV65" s="10"/>
      <c r="AW65" s="10"/>
      <c r="AX65" s="10"/>
      <c r="AY65" s="10"/>
      <c r="AZ65" s="10"/>
      <c r="BA65" s="10"/>
      <c r="BB65" s="10"/>
      <c r="BC65" s="10"/>
      <c r="BD65" s="10"/>
      <c r="BE65" s="10"/>
      <c r="BF65" s="10"/>
      <c r="BG65" s="10"/>
      <c r="BH65" s="10"/>
      <c r="BI65" s="10"/>
      <c r="BJ65" s="10"/>
      <c r="BK65" s="10"/>
      <c r="BL65" s="10"/>
      <c r="BM65" s="10"/>
      <c r="BN65" s="10"/>
      <c r="BO65" s="10"/>
      <c r="BP65" s="10"/>
      <c r="BQ65" s="10"/>
      <c r="BR65" s="10"/>
      <c r="BS65" s="10"/>
      <c r="BT65" s="10"/>
      <c r="BU65" s="10"/>
      <c r="BV65" s="10"/>
      <c r="BW65" s="10"/>
      <c r="BX65" s="15"/>
    </row>
    <row r="66" spans="1:76" x14ac:dyDescent="0.25">
      <c r="A66" s="16"/>
      <c r="B66" s="5" t="s">
        <v>224</v>
      </c>
      <c r="C66" s="6" t="s">
        <v>77</v>
      </c>
      <c r="D66" s="7">
        <v>1086</v>
      </c>
      <c r="E66" s="8">
        <v>44697</v>
      </c>
      <c r="F66" s="9">
        <v>45783</v>
      </c>
      <c r="G66" s="10">
        <v>20229149.789999999</v>
      </c>
      <c r="H66" s="11" t="s">
        <v>98</v>
      </c>
      <c r="I66" s="11" t="s">
        <v>99</v>
      </c>
      <c r="J66" s="18" t="s">
        <v>90</v>
      </c>
      <c r="K66" s="11" t="s">
        <v>177</v>
      </c>
      <c r="L66" s="11" t="s">
        <v>225</v>
      </c>
      <c r="M66" s="13">
        <v>0</v>
      </c>
      <c r="N66" s="10">
        <v>19910338.670000002</v>
      </c>
      <c r="O66" s="14">
        <v>0.98424001387554128</v>
      </c>
      <c r="P66" s="10">
        <v>318811.11999999732</v>
      </c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  <c r="AQ66" s="10"/>
      <c r="AR66" s="10"/>
      <c r="AS66" s="10"/>
      <c r="AT66" s="10"/>
      <c r="AU66" s="10"/>
      <c r="AV66" s="10"/>
      <c r="AW66" s="10"/>
      <c r="AX66" s="10"/>
      <c r="AY66" s="10"/>
      <c r="AZ66" s="10"/>
      <c r="BA66" s="10"/>
      <c r="BB66" s="10"/>
      <c r="BC66" s="10"/>
      <c r="BD66" s="10"/>
      <c r="BE66" s="10"/>
      <c r="BF66" s="10"/>
      <c r="BG66" s="10"/>
      <c r="BH66" s="10"/>
      <c r="BI66" s="10"/>
      <c r="BJ66" s="10"/>
      <c r="BK66" s="10"/>
      <c r="BL66" s="10"/>
      <c r="BM66" s="10"/>
      <c r="BN66" s="10"/>
      <c r="BO66" s="10"/>
      <c r="BP66" s="10"/>
      <c r="BQ66" s="10"/>
      <c r="BR66" s="10"/>
      <c r="BS66" s="10"/>
      <c r="BT66" s="10"/>
      <c r="BU66" s="10"/>
      <c r="BV66" s="10"/>
      <c r="BW66" s="10"/>
      <c r="BX66" s="15"/>
    </row>
    <row r="67" spans="1:76" x14ac:dyDescent="0.25">
      <c r="A67" s="16"/>
      <c r="B67" s="5" t="s">
        <v>226</v>
      </c>
      <c r="C67" s="6" t="s">
        <v>77</v>
      </c>
      <c r="D67" s="7">
        <v>361</v>
      </c>
      <c r="E67" s="8">
        <v>45035</v>
      </c>
      <c r="F67" s="9">
        <v>45396</v>
      </c>
      <c r="G67" s="10">
        <v>2317778.2200000002</v>
      </c>
      <c r="H67" s="11" t="s">
        <v>120</v>
      </c>
      <c r="I67" s="11" t="s">
        <v>99</v>
      </c>
      <c r="J67" s="18" t="s">
        <v>90</v>
      </c>
      <c r="K67" s="11" t="s">
        <v>107</v>
      </c>
      <c r="L67" s="11" t="s">
        <v>227</v>
      </c>
      <c r="M67" s="13">
        <v>0</v>
      </c>
      <c r="N67" s="10">
        <v>56828.03</v>
      </c>
      <c r="O67" s="14">
        <v>2.451832082536352E-2</v>
      </c>
      <c r="P67" s="10">
        <v>2260950.1900000004</v>
      </c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  <c r="AQ67" s="10"/>
      <c r="AR67" s="10"/>
      <c r="AS67" s="10"/>
      <c r="AT67" s="10"/>
      <c r="AU67" s="10"/>
      <c r="AV67" s="10"/>
      <c r="AW67" s="10"/>
      <c r="AX67" s="10"/>
      <c r="AY67" s="10"/>
      <c r="AZ67" s="10"/>
      <c r="BA67" s="10"/>
      <c r="BB67" s="10"/>
      <c r="BC67" s="10"/>
      <c r="BD67" s="10"/>
      <c r="BE67" s="10"/>
      <c r="BF67" s="10"/>
      <c r="BG67" s="10"/>
      <c r="BH67" s="10"/>
      <c r="BI67" s="10"/>
      <c r="BJ67" s="10"/>
      <c r="BK67" s="10"/>
      <c r="BL67" s="10"/>
      <c r="BM67" s="10"/>
      <c r="BN67" s="10"/>
      <c r="BO67" s="10"/>
      <c r="BP67" s="10"/>
      <c r="BQ67" s="10"/>
      <c r="BR67" s="10"/>
      <c r="BS67" s="10"/>
      <c r="BT67" s="10"/>
      <c r="BU67" s="10"/>
      <c r="BV67" s="10"/>
      <c r="BW67" s="10"/>
      <c r="BX67" s="15"/>
    </row>
    <row r="68" spans="1:76" x14ac:dyDescent="0.25">
      <c r="A68" s="16"/>
      <c r="B68" s="5" t="s">
        <v>228</v>
      </c>
      <c r="C68" s="6" t="s">
        <v>77</v>
      </c>
      <c r="D68" s="7"/>
      <c r="E68" s="8">
        <v>45478</v>
      </c>
      <c r="F68" s="9">
        <v>45327</v>
      </c>
      <c r="G68" s="10">
        <v>4928388.09</v>
      </c>
      <c r="H68" s="11" t="s">
        <v>98</v>
      </c>
      <c r="I68" s="11" t="s">
        <v>84</v>
      </c>
      <c r="J68" s="17" t="s">
        <v>85</v>
      </c>
      <c r="K68" s="11" t="s">
        <v>229</v>
      </c>
      <c r="L68" s="11" t="s">
        <v>230</v>
      </c>
      <c r="M68" s="13">
        <v>0</v>
      </c>
      <c r="N68" s="10">
        <v>4928388.09</v>
      </c>
      <c r="O68" s="14">
        <v>1</v>
      </c>
      <c r="P68" s="10">
        <v>0</v>
      </c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  <c r="AQ68" s="10"/>
      <c r="AR68" s="10"/>
      <c r="AS68" s="10"/>
      <c r="AT68" s="10"/>
      <c r="AU68" s="10"/>
      <c r="AV68" s="10"/>
      <c r="AW68" s="10"/>
      <c r="AX68" s="10"/>
      <c r="AY68" s="10"/>
      <c r="AZ68" s="10"/>
      <c r="BA68" s="10"/>
      <c r="BB68" s="10"/>
      <c r="BC68" s="10"/>
      <c r="BD68" s="10"/>
      <c r="BE68" s="10"/>
      <c r="BF68" s="10"/>
      <c r="BG68" s="10"/>
      <c r="BH68" s="10"/>
      <c r="BI68" s="10"/>
      <c r="BJ68" s="10"/>
      <c r="BK68" s="10"/>
      <c r="BL68" s="10"/>
      <c r="BM68" s="10"/>
      <c r="BN68" s="10"/>
      <c r="BO68" s="10"/>
      <c r="BP68" s="10"/>
      <c r="BQ68" s="10"/>
      <c r="BR68" s="10"/>
      <c r="BS68" s="10"/>
      <c r="BT68" s="10"/>
      <c r="BU68" s="10"/>
      <c r="BV68" s="10"/>
      <c r="BW68" s="10"/>
      <c r="BX68" s="15"/>
    </row>
    <row r="69" spans="1:76" x14ac:dyDescent="0.25">
      <c r="A69" s="16">
        <v>22</v>
      </c>
      <c r="B69" s="5" t="s">
        <v>231</v>
      </c>
      <c r="C69" s="6" t="s">
        <v>77</v>
      </c>
      <c r="D69" s="7">
        <v>1324</v>
      </c>
      <c r="E69" s="8">
        <v>44753</v>
      </c>
      <c r="F69" s="9">
        <v>46077</v>
      </c>
      <c r="G69" s="10">
        <v>58032411.710000001</v>
      </c>
      <c r="H69" s="11" t="s">
        <v>78</v>
      </c>
      <c r="I69" s="11" t="s">
        <v>89</v>
      </c>
      <c r="J69" s="18" t="s">
        <v>90</v>
      </c>
      <c r="K69" s="11" t="s">
        <v>91</v>
      </c>
      <c r="L69" s="11" t="s">
        <v>230</v>
      </c>
      <c r="M69" s="13">
        <v>9076344.5100000016</v>
      </c>
      <c r="N69" s="10">
        <v>22442987.519999996</v>
      </c>
      <c r="O69" s="14">
        <v>0.38673194614334244</v>
      </c>
      <c r="P69" s="10">
        <v>35589424.190000005</v>
      </c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  <c r="AQ69" s="10"/>
      <c r="AR69" s="10"/>
      <c r="AS69" s="10"/>
      <c r="AT69" s="10"/>
      <c r="AU69" s="10"/>
      <c r="AV69" s="10"/>
      <c r="AW69" s="10"/>
      <c r="AX69" s="10"/>
      <c r="AY69" s="10"/>
      <c r="AZ69" s="10"/>
      <c r="BA69" s="10"/>
      <c r="BB69" s="10"/>
      <c r="BC69" s="10"/>
      <c r="BD69" s="10"/>
      <c r="BE69" s="10"/>
      <c r="BF69" s="10"/>
      <c r="BG69" s="10"/>
      <c r="BH69" s="10"/>
      <c r="BI69" s="10"/>
      <c r="BJ69" s="10"/>
      <c r="BK69" s="10"/>
      <c r="BL69" s="10"/>
      <c r="BM69" s="10"/>
      <c r="BN69" s="10"/>
      <c r="BO69" s="10"/>
      <c r="BP69" s="10"/>
      <c r="BQ69" s="10"/>
      <c r="BR69" s="10"/>
      <c r="BS69" s="10"/>
      <c r="BT69" s="10"/>
      <c r="BU69" s="10"/>
      <c r="BV69" s="10"/>
      <c r="BW69" s="10"/>
      <c r="BX69" s="34"/>
    </row>
    <row r="70" spans="1:76" x14ac:dyDescent="0.25">
      <c r="A70" s="16">
        <v>23</v>
      </c>
      <c r="B70" s="5" t="s">
        <v>232</v>
      </c>
      <c r="C70" s="6" t="s">
        <v>77</v>
      </c>
      <c r="D70" s="7">
        <v>540</v>
      </c>
      <c r="E70" s="8">
        <v>45503</v>
      </c>
      <c r="F70" s="9">
        <v>46043</v>
      </c>
      <c r="G70" s="10">
        <v>148784461.49000001</v>
      </c>
      <c r="H70" s="11" t="s">
        <v>78</v>
      </c>
      <c r="I70" s="11" t="s">
        <v>89</v>
      </c>
      <c r="J70" s="18" t="s">
        <v>90</v>
      </c>
      <c r="K70" s="11" t="s">
        <v>91</v>
      </c>
      <c r="L70" s="11" t="s">
        <v>230</v>
      </c>
      <c r="M70" s="13">
        <v>78082127.159999996</v>
      </c>
      <c r="N70" s="10">
        <v>147280622.62</v>
      </c>
      <c r="O70" s="14">
        <v>0.98989250050079258</v>
      </c>
      <c r="P70" s="10">
        <v>1503838.8700000048</v>
      </c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  <c r="AQ70" s="10"/>
      <c r="AR70" s="10"/>
      <c r="AS70" s="10"/>
      <c r="AT70" s="10"/>
      <c r="AU70" s="10"/>
      <c r="AV70" s="10"/>
      <c r="AW70" s="10"/>
      <c r="AX70" s="10"/>
      <c r="AY70" s="10"/>
      <c r="AZ70" s="10"/>
      <c r="BA70" s="10"/>
      <c r="BB70" s="10"/>
      <c r="BC70" s="10"/>
      <c r="BD70" s="10"/>
      <c r="BE70" s="10"/>
      <c r="BF70" s="10"/>
      <c r="BG70" s="10"/>
      <c r="BH70" s="10"/>
      <c r="BI70" s="10"/>
      <c r="BJ70" s="10"/>
      <c r="BK70" s="10"/>
      <c r="BL70" s="10"/>
      <c r="BM70" s="10"/>
      <c r="BN70" s="10"/>
      <c r="BO70" s="10"/>
      <c r="BP70" s="10"/>
      <c r="BQ70" s="10"/>
      <c r="BR70" s="10"/>
      <c r="BS70" s="10"/>
      <c r="BT70" s="10"/>
      <c r="BU70" s="10"/>
      <c r="BV70" s="10"/>
      <c r="BW70" s="10"/>
      <c r="BX70" s="34"/>
    </row>
    <row r="71" spans="1:76" x14ac:dyDescent="0.25">
      <c r="A71" s="16">
        <v>24</v>
      </c>
      <c r="B71" s="5" t="s">
        <v>233</v>
      </c>
      <c r="C71" s="6" t="s">
        <v>77</v>
      </c>
      <c r="D71" s="7">
        <v>1442</v>
      </c>
      <c r="E71" s="8">
        <v>44753</v>
      </c>
      <c r="F71" s="9">
        <v>46195</v>
      </c>
      <c r="G71" s="10">
        <v>54283415</v>
      </c>
      <c r="H71" s="11" t="s">
        <v>78</v>
      </c>
      <c r="I71" s="11" t="s">
        <v>89</v>
      </c>
      <c r="J71" s="18" t="s">
        <v>90</v>
      </c>
      <c r="K71" s="11" t="s">
        <v>91</v>
      </c>
      <c r="L71" s="11" t="s">
        <v>234</v>
      </c>
      <c r="M71" s="13">
        <v>0</v>
      </c>
      <c r="N71" s="10">
        <v>2045374.3900000001</v>
      </c>
      <c r="O71" s="14">
        <v>3.7679545216527E-2</v>
      </c>
      <c r="P71" s="10">
        <v>52238040.609999999</v>
      </c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10"/>
      <c r="AS71" s="10"/>
      <c r="AT71" s="10"/>
      <c r="AU71" s="10"/>
      <c r="AV71" s="10"/>
      <c r="AW71" s="10"/>
      <c r="AX71" s="10"/>
      <c r="AY71" s="10"/>
      <c r="AZ71" s="10"/>
      <c r="BA71" s="10"/>
      <c r="BB71" s="10"/>
      <c r="BC71" s="10"/>
      <c r="BD71" s="10"/>
      <c r="BE71" s="10"/>
      <c r="BF71" s="10"/>
      <c r="BG71" s="10"/>
      <c r="BH71" s="10"/>
      <c r="BI71" s="10"/>
      <c r="BJ71" s="10"/>
      <c r="BK71" s="10"/>
      <c r="BL71" s="10"/>
      <c r="BM71" s="10"/>
      <c r="BN71" s="10"/>
      <c r="BO71" s="10"/>
      <c r="BP71" s="10"/>
      <c r="BQ71" s="10"/>
      <c r="BR71" s="10"/>
      <c r="BS71" s="10"/>
      <c r="BT71" s="10"/>
      <c r="BU71" s="10"/>
      <c r="BV71" s="10"/>
      <c r="BW71" s="10"/>
      <c r="BX71" s="34"/>
    </row>
    <row r="72" spans="1:76" x14ac:dyDescent="0.25">
      <c r="A72" s="16">
        <v>25</v>
      </c>
      <c r="B72" s="5" t="s">
        <v>235</v>
      </c>
      <c r="C72" s="6" t="s">
        <v>77</v>
      </c>
      <c r="D72" s="7">
        <v>722</v>
      </c>
      <c r="E72" s="8">
        <v>45352</v>
      </c>
      <c r="F72" s="9">
        <v>46074</v>
      </c>
      <c r="G72" s="10">
        <v>45862409.689999998</v>
      </c>
      <c r="H72" s="11" t="s">
        <v>78</v>
      </c>
      <c r="I72" s="11" t="s">
        <v>99</v>
      </c>
      <c r="J72" s="18" t="s">
        <v>90</v>
      </c>
      <c r="K72" s="11" t="s">
        <v>146</v>
      </c>
      <c r="L72" s="11" t="s">
        <v>234</v>
      </c>
      <c r="M72" s="13">
        <v>23400418.18</v>
      </c>
      <c r="N72" s="10">
        <v>35796161.910000004</v>
      </c>
      <c r="O72" s="14">
        <v>0.78051201740071507</v>
      </c>
      <c r="P72" s="10">
        <v>10066247.779999994</v>
      </c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  <c r="AQ72" s="10"/>
      <c r="AR72" s="10"/>
      <c r="AS72" s="10"/>
      <c r="AT72" s="10"/>
      <c r="AU72" s="10"/>
      <c r="AV72" s="10"/>
      <c r="AW72" s="10"/>
      <c r="AX72" s="10"/>
      <c r="AY72" s="10"/>
      <c r="AZ72" s="10"/>
      <c r="BA72" s="10"/>
      <c r="BB72" s="10"/>
      <c r="BC72" s="10"/>
      <c r="BD72" s="10"/>
      <c r="BE72" s="10"/>
      <c r="BF72" s="10"/>
      <c r="BG72" s="10"/>
      <c r="BH72" s="10"/>
      <c r="BI72" s="10"/>
      <c r="BJ72" s="10"/>
      <c r="BK72" s="10"/>
      <c r="BL72" s="10"/>
      <c r="BM72" s="10"/>
      <c r="BN72" s="10"/>
      <c r="BO72" s="10"/>
      <c r="BP72" s="10"/>
      <c r="BQ72" s="10"/>
      <c r="BR72" s="10"/>
      <c r="BS72" s="10"/>
      <c r="BT72" s="10"/>
      <c r="BU72" s="10"/>
      <c r="BV72" s="10"/>
      <c r="BW72" s="10"/>
      <c r="BX72" s="34"/>
    </row>
    <row r="73" spans="1:76" x14ac:dyDescent="0.25">
      <c r="A73" s="16">
        <v>26</v>
      </c>
      <c r="B73" s="5" t="s">
        <v>236</v>
      </c>
      <c r="C73" s="6" t="s">
        <v>77</v>
      </c>
      <c r="D73" s="7">
        <v>934</v>
      </c>
      <c r="E73" s="8">
        <v>45133</v>
      </c>
      <c r="F73" s="9">
        <v>46067</v>
      </c>
      <c r="G73" s="10">
        <v>5158624.8899999997</v>
      </c>
      <c r="H73" s="11" t="s">
        <v>78</v>
      </c>
      <c r="I73" s="11" t="s">
        <v>84</v>
      </c>
      <c r="J73" s="17" t="s">
        <v>85</v>
      </c>
      <c r="K73" s="11" t="s">
        <v>237</v>
      </c>
      <c r="L73" s="11" t="s">
        <v>238</v>
      </c>
      <c r="M73" s="13">
        <v>2395066.71</v>
      </c>
      <c r="N73" s="10">
        <v>3584685.32</v>
      </c>
      <c r="O73" s="14">
        <v>0.69489164194685227</v>
      </c>
      <c r="P73" s="10">
        <v>1573939.5699999998</v>
      </c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R73" s="10"/>
      <c r="AS73" s="10"/>
      <c r="AT73" s="10"/>
      <c r="AU73" s="10"/>
      <c r="AV73" s="10"/>
      <c r="AW73" s="10"/>
      <c r="AX73" s="10"/>
      <c r="AY73" s="10"/>
      <c r="AZ73" s="10"/>
      <c r="BA73" s="10"/>
      <c r="BB73" s="10"/>
      <c r="BC73" s="10"/>
      <c r="BD73" s="10"/>
      <c r="BE73" s="10"/>
      <c r="BF73" s="10"/>
      <c r="BG73" s="10"/>
      <c r="BH73" s="10"/>
      <c r="BI73" s="10"/>
      <c r="BJ73" s="10"/>
      <c r="BK73" s="10"/>
      <c r="BL73" s="10"/>
      <c r="BM73" s="10"/>
      <c r="BN73" s="10"/>
      <c r="BO73" s="10"/>
      <c r="BP73" s="10"/>
      <c r="BQ73" s="10"/>
      <c r="BR73" s="10"/>
      <c r="BS73" s="10"/>
      <c r="BT73" s="10"/>
      <c r="BU73" s="10"/>
      <c r="BV73" s="10"/>
      <c r="BW73" s="10"/>
      <c r="BX73" s="34"/>
    </row>
    <row r="74" spans="1:76" x14ac:dyDescent="0.25">
      <c r="A74" s="16"/>
      <c r="B74" s="5" t="s">
        <v>239</v>
      </c>
      <c r="C74" s="6" t="s">
        <v>77</v>
      </c>
      <c r="D74" s="7">
        <v>540</v>
      </c>
      <c r="E74" s="8">
        <v>45541</v>
      </c>
      <c r="F74" s="9">
        <v>46081</v>
      </c>
      <c r="G74" s="10">
        <v>27739392.32</v>
      </c>
      <c r="H74" s="11" t="s">
        <v>98</v>
      </c>
      <c r="I74" s="11" t="s">
        <v>99</v>
      </c>
      <c r="J74" s="12" t="s">
        <v>80</v>
      </c>
      <c r="K74" s="11" t="s">
        <v>206</v>
      </c>
      <c r="L74" s="11" t="s">
        <v>238</v>
      </c>
      <c r="M74" s="13">
        <v>1834508.63</v>
      </c>
      <c r="N74" s="10">
        <v>1940441.71</v>
      </c>
      <c r="O74" s="14">
        <v>6.995256736756085E-2</v>
      </c>
      <c r="P74" s="10">
        <v>25798950.609999999</v>
      </c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10"/>
      <c r="AS74" s="10"/>
      <c r="AT74" s="10"/>
      <c r="AU74" s="10"/>
      <c r="AV74" s="10"/>
      <c r="AW74" s="10"/>
      <c r="AX74" s="10"/>
      <c r="AY74" s="10"/>
      <c r="AZ74" s="10"/>
      <c r="BA74" s="10"/>
      <c r="BB74" s="10"/>
      <c r="BC74" s="10"/>
      <c r="BD74" s="10"/>
      <c r="BE74" s="10"/>
      <c r="BF74" s="10"/>
      <c r="BG74" s="10"/>
      <c r="BH74" s="10"/>
      <c r="BI74" s="10"/>
      <c r="BJ74" s="10"/>
      <c r="BK74" s="10"/>
      <c r="BL74" s="10"/>
      <c r="BM74" s="10"/>
      <c r="BN74" s="10"/>
      <c r="BO74" s="10"/>
      <c r="BP74" s="10"/>
      <c r="BQ74" s="10"/>
      <c r="BR74" s="10"/>
      <c r="BS74" s="10"/>
      <c r="BT74" s="10"/>
      <c r="BU74" s="10"/>
      <c r="BV74" s="10"/>
      <c r="BW74" s="10"/>
      <c r="BX74" s="15"/>
    </row>
    <row r="75" spans="1:76" x14ac:dyDescent="0.25">
      <c r="A75" s="16">
        <v>27</v>
      </c>
      <c r="B75" s="5" t="s">
        <v>240</v>
      </c>
      <c r="C75" s="6" t="s">
        <v>77</v>
      </c>
      <c r="D75" s="7">
        <v>540</v>
      </c>
      <c r="E75" s="8">
        <v>45566</v>
      </c>
      <c r="F75" s="9">
        <v>46106</v>
      </c>
      <c r="G75" s="10">
        <v>51414775.090000004</v>
      </c>
      <c r="H75" s="11" t="s">
        <v>78</v>
      </c>
      <c r="I75" s="11" t="s">
        <v>79</v>
      </c>
      <c r="J75" s="12" t="s">
        <v>80</v>
      </c>
      <c r="K75" s="11" t="s">
        <v>167</v>
      </c>
      <c r="L75" s="11" t="s">
        <v>241</v>
      </c>
      <c r="M75" s="13">
        <v>33221220.629999995</v>
      </c>
      <c r="N75" s="10">
        <v>45451420.479999997</v>
      </c>
      <c r="O75" s="14">
        <v>0.88401476813695412</v>
      </c>
      <c r="P75" s="10">
        <v>5963354.6100000069</v>
      </c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10"/>
      <c r="AT75" s="10"/>
      <c r="AU75" s="10"/>
      <c r="AV75" s="10"/>
      <c r="AW75" s="10"/>
      <c r="AX75" s="10"/>
      <c r="AY75" s="10"/>
      <c r="AZ75" s="10"/>
      <c r="BA75" s="10"/>
      <c r="BB75" s="10"/>
      <c r="BC75" s="10"/>
      <c r="BD75" s="10"/>
      <c r="BE75" s="10"/>
      <c r="BF75" s="10"/>
      <c r="BG75" s="10"/>
      <c r="BH75" s="10"/>
      <c r="BI75" s="10"/>
      <c r="BJ75" s="10"/>
      <c r="BK75" s="10"/>
      <c r="BL75" s="10"/>
      <c r="BM75" s="10"/>
      <c r="BN75" s="10"/>
      <c r="BO75" s="10"/>
      <c r="BP75" s="10"/>
      <c r="BQ75" s="10"/>
      <c r="BR75" s="10"/>
      <c r="BS75" s="10"/>
      <c r="BT75" s="10"/>
      <c r="BU75" s="10"/>
      <c r="BV75" s="10"/>
      <c r="BW75" s="10"/>
      <c r="BX75" s="34"/>
    </row>
    <row r="76" spans="1:76" x14ac:dyDescent="0.25">
      <c r="A76" s="16">
        <v>28</v>
      </c>
      <c r="B76" s="5" t="s">
        <v>242</v>
      </c>
      <c r="C76" s="6" t="s">
        <v>77</v>
      </c>
      <c r="D76" s="7">
        <v>482</v>
      </c>
      <c r="E76" s="8">
        <v>45624</v>
      </c>
      <c r="F76" s="9">
        <v>46106</v>
      </c>
      <c r="G76" s="10">
        <v>2601911.3199999998</v>
      </c>
      <c r="H76" s="11" t="s">
        <v>78</v>
      </c>
      <c r="I76" s="11" t="s">
        <v>126</v>
      </c>
      <c r="J76" s="17" t="s">
        <v>85</v>
      </c>
      <c r="K76" s="11" t="s">
        <v>243</v>
      </c>
      <c r="L76" s="11" t="s">
        <v>244</v>
      </c>
      <c r="M76" s="13">
        <v>2286082.54</v>
      </c>
      <c r="N76" s="10">
        <v>2286082.54</v>
      </c>
      <c r="O76" s="14">
        <v>0.87861662402852392</v>
      </c>
      <c r="P76" s="10">
        <v>315828.7799999998</v>
      </c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  <c r="AS76" s="10"/>
      <c r="AT76" s="10"/>
      <c r="AU76" s="10"/>
      <c r="AV76" s="10"/>
      <c r="AW76" s="10"/>
      <c r="AX76" s="10"/>
      <c r="AY76" s="10"/>
      <c r="AZ76" s="10"/>
      <c r="BA76" s="10"/>
      <c r="BB76" s="10"/>
      <c r="BC76" s="10"/>
      <c r="BD76" s="10"/>
      <c r="BE76" s="10"/>
      <c r="BF76" s="10"/>
      <c r="BG76" s="10"/>
      <c r="BH76" s="10"/>
      <c r="BI76" s="10"/>
      <c r="BJ76" s="10"/>
      <c r="BK76" s="10"/>
      <c r="BL76" s="10"/>
      <c r="BM76" s="10"/>
      <c r="BN76" s="10"/>
      <c r="BO76" s="10"/>
      <c r="BP76" s="10"/>
      <c r="BQ76" s="10"/>
      <c r="BR76" s="10"/>
      <c r="BS76" s="10"/>
      <c r="BT76" s="10"/>
      <c r="BU76" s="10"/>
      <c r="BV76" s="10"/>
      <c r="BW76" s="10"/>
      <c r="BX76" s="34"/>
    </row>
    <row r="77" spans="1:76" x14ac:dyDescent="0.25">
      <c r="A77" s="16"/>
      <c r="B77" s="5" t="s">
        <v>245</v>
      </c>
      <c r="C77" s="6" t="s">
        <v>77</v>
      </c>
      <c r="D77" s="7">
        <v>847</v>
      </c>
      <c r="E77" s="8">
        <v>44637</v>
      </c>
      <c r="F77" s="9">
        <v>45484</v>
      </c>
      <c r="G77" s="10">
        <v>5361446.28</v>
      </c>
      <c r="H77" s="11" t="s">
        <v>98</v>
      </c>
      <c r="I77" s="11" t="s">
        <v>84</v>
      </c>
      <c r="J77" s="17" t="s">
        <v>85</v>
      </c>
      <c r="K77" s="11" t="s">
        <v>243</v>
      </c>
      <c r="L77" s="11" t="s">
        <v>246</v>
      </c>
      <c r="M77" s="13">
        <v>0</v>
      </c>
      <c r="N77" s="10">
        <v>5319860.6999999983</v>
      </c>
      <c r="O77" s="14">
        <v>0.99224358916825661</v>
      </c>
      <c r="P77" s="10">
        <v>41585.580000001937</v>
      </c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  <c r="AQ77" s="10"/>
      <c r="AR77" s="10"/>
      <c r="AS77" s="10"/>
      <c r="AT77" s="10"/>
      <c r="AU77" s="10"/>
      <c r="AV77" s="10"/>
      <c r="AW77" s="10"/>
      <c r="AX77" s="10"/>
      <c r="AY77" s="10"/>
      <c r="AZ77" s="10"/>
      <c r="BA77" s="10"/>
      <c r="BB77" s="10"/>
      <c r="BC77" s="10"/>
      <c r="BD77" s="10"/>
      <c r="BE77" s="10"/>
      <c r="BF77" s="10"/>
      <c r="BG77" s="10"/>
      <c r="BH77" s="10"/>
      <c r="BI77" s="10"/>
      <c r="BJ77" s="10"/>
      <c r="BK77" s="10"/>
      <c r="BL77" s="10"/>
      <c r="BM77" s="10"/>
      <c r="BN77" s="10"/>
      <c r="BO77" s="10"/>
      <c r="BP77" s="10"/>
      <c r="BQ77" s="10"/>
      <c r="BR77" s="10"/>
      <c r="BS77" s="10"/>
      <c r="BT77" s="10"/>
      <c r="BU77" s="10"/>
      <c r="BV77" s="10"/>
      <c r="BW77" s="10"/>
      <c r="BX77" s="15"/>
    </row>
    <row r="78" spans="1:76" x14ac:dyDescent="0.25">
      <c r="A78" s="16">
        <v>29</v>
      </c>
      <c r="B78" s="5" t="s">
        <v>247</v>
      </c>
      <c r="C78" s="6" t="s">
        <v>77</v>
      </c>
      <c r="D78" s="7">
        <v>240</v>
      </c>
      <c r="E78" s="8">
        <v>45925</v>
      </c>
      <c r="F78" s="9">
        <v>46165</v>
      </c>
      <c r="G78" s="10">
        <v>544550.48</v>
      </c>
      <c r="H78" s="11" t="s">
        <v>78</v>
      </c>
      <c r="I78" s="11" t="s">
        <v>99</v>
      </c>
      <c r="J78" s="12" t="s">
        <v>80</v>
      </c>
      <c r="K78" s="11" t="s">
        <v>192</v>
      </c>
      <c r="L78" s="11" t="s">
        <v>248</v>
      </c>
      <c r="M78" s="13">
        <v>425261.39999999997</v>
      </c>
      <c r="N78" s="10">
        <v>425261.39999999997</v>
      </c>
      <c r="O78" s="14">
        <v>0.78094027205705518</v>
      </c>
      <c r="P78" s="10">
        <v>119289.08000000002</v>
      </c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  <c r="AQ78" s="10"/>
      <c r="AR78" s="10"/>
      <c r="AS78" s="10"/>
      <c r="AT78" s="10"/>
      <c r="AU78" s="10"/>
      <c r="AV78" s="10"/>
      <c r="AW78" s="10"/>
      <c r="AX78" s="10"/>
      <c r="AY78" s="10"/>
      <c r="AZ78" s="10"/>
      <c r="BA78" s="10"/>
      <c r="BB78" s="10"/>
      <c r="BC78" s="10"/>
      <c r="BD78" s="10"/>
      <c r="BE78" s="10"/>
      <c r="BF78" s="10"/>
      <c r="BG78" s="10"/>
      <c r="BH78" s="10"/>
      <c r="BI78" s="10"/>
      <c r="BJ78" s="10"/>
      <c r="BK78" s="10"/>
      <c r="BL78" s="10"/>
      <c r="BM78" s="10"/>
      <c r="BN78" s="10"/>
      <c r="BO78" s="10"/>
      <c r="BP78" s="10"/>
      <c r="BQ78" s="10"/>
      <c r="BR78" s="10"/>
      <c r="BS78" s="10"/>
      <c r="BT78" s="10"/>
      <c r="BU78" s="10"/>
      <c r="BV78" s="10"/>
      <c r="BW78" s="10"/>
      <c r="BX78" s="34"/>
    </row>
    <row r="79" spans="1:76" x14ac:dyDescent="0.25">
      <c r="A79" s="16">
        <v>30</v>
      </c>
      <c r="B79" s="5" t="s">
        <v>249</v>
      </c>
      <c r="C79" s="6" t="s">
        <v>77</v>
      </c>
      <c r="D79" s="7">
        <v>1019</v>
      </c>
      <c r="E79" s="8">
        <v>45035</v>
      </c>
      <c r="F79" s="9">
        <v>46054</v>
      </c>
      <c r="G79" s="10">
        <v>28459856.91</v>
      </c>
      <c r="H79" s="11" t="s">
        <v>78</v>
      </c>
      <c r="I79" s="11" t="s">
        <v>99</v>
      </c>
      <c r="J79" s="18" t="s">
        <v>90</v>
      </c>
      <c r="K79" s="11" t="s">
        <v>146</v>
      </c>
      <c r="L79" s="11" t="s">
        <v>250</v>
      </c>
      <c r="M79" s="13">
        <v>19557304.370000001</v>
      </c>
      <c r="N79" s="10">
        <v>19844966.530000001</v>
      </c>
      <c r="O79" s="14">
        <v>0.69729677815165103</v>
      </c>
      <c r="P79" s="10">
        <v>8614890.379999999</v>
      </c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10"/>
      <c r="AS79" s="10"/>
      <c r="AT79" s="10"/>
      <c r="AU79" s="10"/>
      <c r="AV79" s="10"/>
      <c r="AW79" s="10"/>
      <c r="AX79" s="10"/>
      <c r="AY79" s="10"/>
      <c r="AZ79" s="10"/>
      <c r="BA79" s="10"/>
      <c r="BB79" s="10"/>
      <c r="BC79" s="10"/>
      <c r="BD79" s="10"/>
      <c r="BE79" s="10"/>
      <c r="BF79" s="10"/>
      <c r="BG79" s="10"/>
      <c r="BH79" s="10"/>
      <c r="BI79" s="10"/>
      <c r="BJ79" s="10"/>
      <c r="BK79" s="10"/>
      <c r="BL79" s="10"/>
      <c r="BM79" s="10"/>
      <c r="BN79" s="10"/>
      <c r="BO79" s="10"/>
      <c r="BP79" s="10"/>
      <c r="BQ79" s="10"/>
      <c r="BR79" s="10"/>
      <c r="BS79" s="10"/>
      <c r="BT79" s="10"/>
      <c r="BU79" s="10"/>
      <c r="BV79" s="10"/>
      <c r="BW79" s="10"/>
      <c r="BX79" s="34"/>
    </row>
    <row r="80" spans="1:76" x14ac:dyDescent="0.25">
      <c r="A80" s="16">
        <v>31</v>
      </c>
      <c r="B80" s="5" t="s">
        <v>251</v>
      </c>
      <c r="C80" s="6" t="s">
        <v>77</v>
      </c>
      <c r="D80" s="7">
        <v>1388</v>
      </c>
      <c r="E80" s="8">
        <v>44623</v>
      </c>
      <c r="F80" s="9">
        <v>46011</v>
      </c>
      <c r="G80" s="10">
        <v>45726170.25</v>
      </c>
      <c r="H80" s="11" t="s">
        <v>78</v>
      </c>
      <c r="I80" s="11" t="s">
        <v>79</v>
      </c>
      <c r="J80" s="12" t="s">
        <v>80</v>
      </c>
      <c r="K80" s="11" t="s">
        <v>218</v>
      </c>
      <c r="L80" s="11" t="s">
        <v>250</v>
      </c>
      <c r="M80" s="13">
        <v>5250302.04</v>
      </c>
      <c r="N80" s="10">
        <v>35877738.719999999</v>
      </c>
      <c r="O80" s="14">
        <v>0.78462155312471193</v>
      </c>
      <c r="P80" s="10">
        <v>9848431.5300000012</v>
      </c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  <c r="AQ80" s="10"/>
      <c r="AR80" s="10"/>
      <c r="AS80" s="10"/>
      <c r="AT80" s="10"/>
      <c r="AU80" s="10"/>
      <c r="AV80" s="10"/>
      <c r="AW80" s="10"/>
      <c r="AX80" s="10"/>
      <c r="AY80" s="10"/>
      <c r="AZ80" s="10"/>
      <c r="BA80" s="10"/>
      <c r="BB80" s="10"/>
      <c r="BC80" s="10"/>
      <c r="BD80" s="10"/>
      <c r="BE80" s="10"/>
      <c r="BF80" s="10"/>
      <c r="BG80" s="10"/>
      <c r="BH80" s="10"/>
      <c r="BI80" s="10"/>
      <c r="BJ80" s="10"/>
      <c r="BK80" s="10"/>
      <c r="BL80" s="10"/>
      <c r="BM80" s="10"/>
      <c r="BN80" s="10"/>
      <c r="BO80" s="10"/>
      <c r="BP80" s="10"/>
      <c r="BQ80" s="10"/>
      <c r="BR80" s="10"/>
      <c r="BS80" s="10"/>
      <c r="BT80" s="10"/>
      <c r="BU80" s="10"/>
      <c r="BV80" s="10"/>
      <c r="BW80" s="10"/>
      <c r="BX80" s="34"/>
    </row>
    <row r="81" spans="1:76" x14ac:dyDescent="0.25">
      <c r="A81" s="16">
        <v>32</v>
      </c>
      <c r="B81" s="5" t="s">
        <v>252</v>
      </c>
      <c r="C81" s="6" t="s">
        <v>77</v>
      </c>
      <c r="D81" s="7">
        <v>1450</v>
      </c>
      <c r="E81" s="8">
        <v>44641</v>
      </c>
      <c r="F81" s="9">
        <v>46091</v>
      </c>
      <c r="G81" s="10">
        <v>43796954.979999997</v>
      </c>
      <c r="H81" s="11" t="s">
        <v>78</v>
      </c>
      <c r="I81" s="11" t="s">
        <v>79</v>
      </c>
      <c r="J81" s="12" t="s">
        <v>80</v>
      </c>
      <c r="K81" s="11" t="s">
        <v>218</v>
      </c>
      <c r="L81" s="11" t="s">
        <v>250</v>
      </c>
      <c r="M81" s="13">
        <v>8362397.1399999997</v>
      </c>
      <c r="N81" s="10">
        <v>42048979.520000003</v>
      </c>
      <c r="O81" s="14">
        <v>0.96008910982970819</v>
      </c>
      <c r="P81" s="10">
        <v>1747975.4599999934</v>
      </c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  <c r="AQ81" s="10"/>
      <c r="AR81" s="10"/>
      <c r="AS81" s="10"/>
      <c r="AT81" s="10"/>
      <c r="AU81" s="10"/>
      <c r="AV81" s="10"/>
      <c r="AW81" s="10"/>
      <c r="AX81" s="10"/>
      <c r="AY81" s="10"/>
      <c r="AZ81" s="10"/>
      <c r="BA81" s="10"/>
      <c r="BB81" s="10"/>
      <c r="BC81" s="10"/>
      <c r="BD81" s="10"/>
      <c r="BE81" s="10"/>
      <c r="BF81" s="10"/>
      <c r="BG81" s="10"/>
      <c r="BH81" s="10"/>
      <c r="BI81" s="10"/>
      <c r="BJ81" s="10"/>
      <c r="BK81" s="10"/>
      <c r="BL81" s="10"/>
      <c r="BM81" s="10"/>
      <c r="BN81" s="10"/>
      <c r="BO81" s="10"/>
      <c r="BP81" s="10"/>
      <c r="BQ81" s="10"/>
      <c r="BR81" s="10"/>
      <c r="BS81" s="10"/>
      <c r="BT81" s="10"/>
      <c r="BU81" s="10"/>
      <c r="BV81" s="10"/>
      <c r="BW81" s="10"/>
      <c r="BX81" s="34"/>
    </row>
    <row r="82" spans="1:76" x14ac:dyDescent="0.25">
      <c r="A82" s="16">
        <v>33</v>
      </c>
      <c r="B82" s="5" t="s">
        <v>253</v>
      </c>
      <c r="C82" s="6" t="s">
        <v>77</v>
      </c>
      <c r="D82" s="7">
        <v>900</v>
      </c>
      <c r="E82" s="8">
        <v>45901</v>
      </c>
      <c r="F82" s="9">
        <v>46801</v>
      </c>
      <c r="G82" s="10">
        <v>41522873.420000002</v>
      </c>
      <c r="H82" s="11" t="s">
        <v>78</v>
      </c>
      <c r="I82" s="11" t="s">
        <v>89</v>
      </c>
      <c r="J82" s="18" t="s">
        <v>90</v>
      </c>
      <c r="K82" s="11" t="s">
        <v>210</v>
      </c>
      <c r="L82" s="11" t="s">
        <v>254</v>
      </c>
      <c r="M82" s="13">
        <v>0</v>
      </c>
      <c r="N82" s="10">
        <v>0</v>
      </c>
      <c r="O82" s="14">
        <v>0</v>
      </c>
      <c r="P82" s="10">
        <v>41522873.420000002</v>
      </c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  <c r="AQ82" s="10"/>
      <c r="AR82" s="10"/>
      <c r="AS82" s="10"/>
      <c r="AT82" s="10"/>
      <c r="AU82" s="10"/>
      <c r="AV82" s="10"/>
      <c r="AW82" s="10"/>
      <c r="AX82" s="10"/>
      <c r="AY82" s="10"/>
      <c r="AZ82" s="10"/>
      <c r="BA82" s="10"/>
      <c r="BB82" s="10"/>
      <c r="BC82" s="10"/>
      <c r="BD82" s="10"/>
      <c r="BE82" s="10"/>
      <c r="BF82" s="10"/>
      <c r="BG82" s="10"/>
      <c r="BH82" s="10"/>
      <c r="BI82" s="10"/>
      <c r="BJ82" s="10"/>
      <c r="BK82" s="10"/>
      <c r="BL82" s="10"/>
      <c r="BM82" s="10"/>
      <c r="BN82" s="10"/>
      <c r="BO82" s="10"/>
      <c r="BP82" s="10"/>
      <c r="BQ82" s="10"/>
      <c r="BR82" s="10"/>
      <c r="BS82" s="10"/>
      <c r="BT82" s="10"/>
      <c r="BU82" s="10"/>
      <c r="BV82" s="10"/>
      <c r="BW82" s="10"/>
      <c r="BX82" s="34"/>
    </row>
    <row r="83" spans="1:76" x14ac:dyDescent="0.25">
      <c r="A83" s="16"/>
      <c r="B83" s="5" t="s">
        <v>255</v>
      </c>
      <c r="C83" s="6" t="s">
        <v>77</v>
      </c>
      <c r="D83" s="7">
        <v>303</v>
      </c>
      <c r="E83" s="8">
        <v>45314</v>
      </c>
      <c r="F83" s="9">
        <v>45617</v>
      </c>
      <c r="G83" s="10">
        <v>7155724.3899999997</v>
      </c>
      <c r="H83" s="11" t="s">
        <v>98</v>
      </c>
      <c r="I83" s="11" t="s">
        <v>99</v>
      </c>
      <c r="J83" s="18" t="s">
        <v>90</v>
      </c>
      <c r="K83" s="11" t="s">
        <v>256</v>
      </c>
      <c r="L83" s="11" t="s">
        <v>257</v>
      </c>
      <c r="M83" s="13">
        <v>0</v>
      </c>
      <c r="N83" s="10">
        <v>7148655.6200000001</v>
      </c>
      <c r="O83" s="14">
        <v>0.99901215172430657</v>
      </c>
      <c r="P83" s="10">
        <v>7068.769999999553</v>
      </c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  <c r="AP83" s="10"/>
      <c r="AQ83" s="10"/>
      <c r="AR83" s="10"/>
      <c r="AS83" s="10"/>
      <c r="AT83" s="10"/>
      <c r="AU83" s="10"/>
      <c r="AV83" s="10"/>
      <c r="AW83" s="10"/>
      <c r="AX83" s="10"/>
      <c r="AY83" s="10"/>
      <c r="AZ83" s="10"/>
      <c r="BA83" s="10"/>
      <c r="BB83" s="10"/>
      <c r="BC83" s="10"/>
      <c r="BD83" s="10"/>
      <c r="BE83" s="10"/>
      <c r="BF83" s="10"/>
      <c r="BG83" s="10"/>
      <c r="BH83" s="10"/>
      <c r="BI83" s="10"/>
      <c r="BJ83" s="10"/>
      <c r="BK83" s="10"/>
      <c r="BL83" s="10"/>
      <c r="BM83" s="10"/>
      <c r="BN83" s="10"/>
      <c r="BO83" s="10"/>
      <c r="BP83" s="10"/>
      <c r="BQ83" s="10"/>
      <c r="BR83" s="10"/>
      <c r="BS83" s="10"/>
      <c r="BT83" s="10"/>
      <c r="BU83" s="10"/>
      <c r="BV83" s="10"/>
      <c r="BW83" s="10"/>
      <c r="BX83" s="15"/>
    </row>
    <row r="84" spans="1:76" x14ac:dyDescent="0.25">
      <c r="A84" s="16">
        <v>34</v>
      </c>
      <c r="B84" s="5" t="s">
        <v>258</v>
      </c>
      <c r="C84" s="6" t="s">
        <v>77</v>
      </c>
      <c r="D84" s="7">
        <v>664</v>
      </c>
      <c r="E84" s="8">
        <v>45398</v>
      </c>
      <c r="F84" s="9">
        <v>46062</v>
      </c>
      <c r="G84" s="10">
        <v>6765672.29</v>
      </c>
      <c r="H84" s="11" t="s">
        <v>78</v>
      </c>
      <c r="I84" s="11" t="s">
        <v>89</v>
      </c>
      <c r="J84" s="18" t="s">
        <v>90</v>
      </c>
      <c r="K84" s="11" t="s">
        <v>256</v>
      </c>
      <c r="L84" s="11" t="s">
        <v>257</v>
      </c>
      <c r="M84" s="13">
        <v>4600873.3500000006</v>
      </c>
      <c r="N84" s="10">
        <v>5991696.6599999992</v>
      </c>
      <c r="O84" s="14">
        <v>0.88560255406636001</v>
      </c>
      <c r="P84" s="10">
        <v>773975.63000000082</v>
      </c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  <c r="AN84" s="10"/>
      <c r="AO84" s="10"/>
      <c r="AP84" s="10"/>
      <c r="AQ84" s="10"/>
      <c r="AR84" s="10"/>
      <c r="AS84" s="10"/>
      <c r="AT84" s="10"/>
      <c r="AU84" s="10"/>
      <c r="AV84" s="10"/>
      <c r="AW84" s="10"/>
      <c r="AX84" s="10"/>
      <c r="AY84" s="10"/>
      <c r="AZ84" s="10"/>
      <c r="BA84" s="10"/>
      <c r="BB84" s="10"/>
      <c r="BC84" s="10"/>
      <c r="BD84" s="10"/>
      <c r="BE84" s="10"/>
      <c r="BF84" s="10"/>
      <c r="BG84" s="10"/>
      <c r="BH84" s="10"/>
      <c r="BI84" s="10"/>
      <c r="BJ84" s="10"/>
      <c r="BK84" s="10"/>
      <c r="BL84" s="10"/>
      <c r="BM84" s="10"/>
      <c r="BN84" s="10"/>
      <c r="BO84" s="10"/>
      <c r="BP84" s="10"/>
      <c r="BQ84" s="10"/>
      <c r="BR84" s="10"/>
      <c r="BS84" s="10"/>
      <c r="BT84" s="10"/>
      <c r="BU84" s="10"/>
      <c r="BV84" s="10"/>
      <c r="BW84" s="10"/>
      <c r="BX84" s="34"/>
    </row>
    <row r="85" spans="1:76" x14ac:dyDescent="0.25">
      <c r="A85" s="16"/>
      <c r="B85" s="5" t="s">
        <v>259</v>
      </c>
      <c r="C85" s="6" t="s">
        <v>77</v>
      </c>
      <c r="D85" s="7">
        <v>932</v>
      </c>
      <c r="E85" s="8">
        <v>44708</v>
      </c>
      <c r="F85" s="9">
        <v>45640</v>
      </c>
      <c r="G85" s="10">
        <v>1923627.23</v>
      </c>
      <c r="H85" s="11" t="s">
        <v>98</v>
      </c>
      <c r="I85" s="11" t="s">
        <v>89</v>
      </c>
      <c r="J85" s="17" t="s">
        <v>85</v>
      </c>
      <c r="K85" s="11" t="s">
        <v>260</v>
      </c>
      <c r="L85" s="11" t="s">
        <v>261</v>
      </c>
      <c r="M85" s="13">
        <v>0</v>
      </c>
      <c r="N85" s="10">
        <v>1923627.2400000002</v>
      </c>
      <c r="O85" s="14">
        <v>1</v>
      </c>
      <c r="P85" s="10">
        <v>-1.0000000242143869E-2</v>
      </c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10"/>
      <c r="AT85" s="10"/>
      <c r="AU85" s="10"/>
      <c r="AV85" s="10"/>
      <c r="AW85" s="10"/>
      <c r="AX85" s="10"/>
      <c r="AY85" s="10"/>
      <c r="AZ85" s="10"/>
      <c r="BA85" s="10"/>
      <c r="BB85" s="10"/>
      <c r="BC85" s="10"/>
      <c r="BD85" s="10"/>
      <c r="BE85" s="10"/>
      <c r="BF85" s="10"/>
      <c r="BG85" s="10"/>
      <c r="BH85" s="10"/>
      <c r="BI85" s="10"/>
      <c r="BJ85" s="10"/>
      <c r="BK85" s="10"/>
      <c r="BL85" s="10"/>
      <c r="BM85" s="10"/>
      <c r="BN85" s="10"/>
      <c r="BO85" s="10"/>
      <c r="BP85" s="10"/>
      <c r="BQ85" s="10"/>
      <c r="BR85" s="10"/>
      <c r="BS85" s="10"/>
      <c r="BT85" s="10"/>
      <c r="BU85" s="10"/>
      <c r="BV85" s="10"/>
      <c r="BW85" s="10"/>
      <c r="BX85" s="15"/>
    </row>
    <row r="86" spans="1:76" x14ac:dyDescent="0.25">
      <c r="A86" s="16"/>
      <c r="B86" s="5" t="s">
        <v>262</v>
      </c>
      <c r="C86" s="6" t="s">
        <v>77</v>
      </c>
      <c r="D86" s="7">
        <v>360</v>
      </c>
      <c r="E86" s="8">
        <v>45100</v>
      </c>
      <c r="F86" s="9">
        <v>45460</v>
      </c>
      <c r="G86" s="10">
        <v>16774604.060000001</v>
      </c>
      <c r="H86" s="11" t="s">
        <v>120</v>
      </c>
      <c r="I86" s="11" t="s">
        <v>102</v>
      </c>
      <c r="J86" s="12" t="s">
        <v>80</v>
      </c>
      <c r="K86" s="11" t="s">
        <v>93</v>
      </c>
      <c r="L86" s="11" t="s">
        <v>263</v>
      </c>
      <c r="M86" s="13">
        <v>0</v>
      </c>
      <c r="N86" s="10">
        <v>127835.64</v>
      </c>
      <c r="O86" s="14">
        <v>0.76207843441641265</v>
      </c>
      <c r="P86" s="10">
        <v>16646768.42</v>
      </c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10"/>
      <c r="AN86" s="10"/>
      <c r="AO86" s="10"/>
      <c r="AP86" s="10"/>
      <c r="AQ86" s="10"/>
      <c r="AR86" s="10"/>
      <c r="AS86" s="10"/>
      <c r="AT86" s="10"/>
      <c r="AU86" s="10"/>
      <c r="AV86" s="10"/>
      <c r="AW86" s="10"/>
      <c r="AX86" s="10"/>
      <c r="AY86" s="10"/>
      <c r="AZ86" s="10"/>
      <c r="BA86" s="10"/>
      <c r="BB86" s="10"/>
      <c r="BC86" s="10"/>
      <c r="BD86" s="10"/>
      <c r="BE86" s="10"/>
      <c r="BF86" s="10"/>
      <c r="BG86" s="10"/>
      <c r="BH86" s="10"/>
      <c r="BI86" s="10"/>
      <c r="BJ86" s="10"/>
      <c r="BK86" s="10"/>
      <c r="BL86" s="10"/>
      <c r="BM86" s="10"/>
      <c r="BN86" s="10"/>
      <c r="BO86" s="10"/>
      <c r="BP86" s="10"/>
      <c r="BQ86" s="10"/>
      <c r="BR86" s="10"/>
      <c r="BS86" s="10"/>
      <c r="BT86" s="10"/>
      <c r="BU86" s="10"/>
      <c r="BV86" s="10"/>
      <c r="BW86" s="10"/>
      <c r="BX86" s="15"/>
    </row>
    <row r="87" spans="1:76" x14ac:dyDescent="0.25">
      <c r="A87" s="16">
        <v>35</v>
      </c>
      <c r="B87" s="5" t="s">
        <v>264</v>
      </c>
      <c r="C87" s="6" t="s">
        <v>77</v>
      </c>
      <c r="D87" s="7">
        <v>1174</v>
      </c>
      <c r="E87" s="8">
        <v>45019</v>
      </c>
      <c r="F87" s="9">
        <v>46193</v>
      </c>
      <c r="G87" s="10">
        <v>18698052.190000001</v>
      </c>
      <c r="H87" s="11" t="s">
        <v>78</v>
      </c>
      <c r="I87" s="11" t="s">
        <v>89</v>
      </c>
      <c r="J87" s="12" t="s">
        <v>80</v>
      </c>
      <c r="K87" s="11" t="s">
        <v>81</v>
      </c>
      <c r="L87" s="11" t="s">
        <v>263</v>
      </c>
      <c r="M87" s="13">
        <v>2715707.77</v>
      </c>
      <c r="N87" s="10">
        <v>13115141.030000001</v>
      </c>
      <c r="O87" s="14">
        <v>0.70141750042895779</v>
      </c>
      <c r="P87" s="10">
        <v>5582911.1600000001</v>
      </c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/>
      <c r="AR87" s="10"/>
      <c r="AS87" s="10"/>
      <c r="AT87" s="10"/>
      <c r="AU87" s="10"/>
      <c r="AV87" s="10"/>
      <c r="AW87" s="10"/>
      <c r="AX87" s="10"/>
      <c r="AY87" s="10"/>
      <c r="AZ87" s="10"/>
      <c r="BA87" s="10"/>
      <c r="BB87" s="10"/>
      <c r="BC87" s="10"/>
      <c r="BD87" s="10"/>
      <c r="BE87" s="10"/>
      <c r="BF87" s="10"/>
      <c r="BG87" s="10"/>
      <c r="BH87" s="10"/>
      <c r="BI87" s="10"/>
      <c r="BJ87" s="10"/>
      <c r="BK87" s="10"/>
      <c r="BL87" s="10"/>
      <c r="BM87" s="10"/>
      <c r="BN87" s="10"/>
      <c r="BO87" s="10"/>
      <c r="BP87" s="10"/>
      <c r="BQ87" s="10"/>
      <c r="BR87" s="10"/>
      <c r="BS87" s="10"/>
      <c r="BT87" s="10"/>
      <c r="BU87" s="10"/>
      <c r="BV87" s="10"/>
      <c r="BW87" s="10"/>
      <c r="BX87" s="34"/>
    </row>
    <row r="88" spans="1:76" x14ac:dyDescent="0.25">
      <c r="A88" s="16">
        <v>36</v>
      </c>
      <c r="B88" s="5" t="s">
        <v>265</v>
      </c>
      <c r="C88" s="6" t="s">
        <v>77</v>
      </c>
      <c r="D88" s="7">
        <v>963</v>
      </c>
      <c r="E88" s="8">
        <v>45190</v>
      </c>
      <c r="F88" s="9">
        <v>46153</v>
      </c>
      <c r="G88" s="10">
        <v>26504288.68</v>
      </c>
      <c r="H88" s="11" t="s">
        <v>78</v>
      </c>
      <c r="I88" s="11" t="s">
        <v>89</v>
      </c>
      <c r="J88" s="18" t="s">
        <v>90</v>
      </c>
      <c r="K88" s="11" t="s">
        <v>91</v>
      </c>
      <c r="L88" s="11" t="s">
        <v>263</v>
      </c>
      <c r="M88" s="13">
        <v>3124707.18</v>
      </c>
      <c r="N88" s="10">
        <v>14219584.479999999</v>
      </c>
      <c r="O88" s="14">
        <v>0.53650126783934493</v>
      </c>
      <c r="P88" s="10">
        <v>12284704.200000001</v>
      </c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10"/>
      <c r="AQ88" s="10"/>
      <c r="AR88" s="10"/>
      <c r="AS88" s="10"/>
      <c r="AT88" s="10"/>
      <c r="AU88" s="10"/>
      <c r="AV88" s="10"/>
      <c r="AW88" s="10"/>
      <c r="AX88" s="10"/>
      <c r="AY88" s="10"/>
      <c r="AZ88" s="10"/>
      <c r="BA88" s="10"/>
      <c r="BB88" s="10"/>
      <c r="BC88" s="10"/>
      <c r="BD88" s="10"/>
      <c r="BE88" s="10"/>
      <c r="BF88" s="10"/>
      <c r="BG88" s="10"/>
      <c r="BH88" s="10"/>
      <c r="BI88" s="10"/>
      <c r="BJ88" s="10"/>
      <c r="BK88" s="10"/>
      <c r="BL88" s="10"/>
      <c r="BM88" s="10"/>
      <c r="BN88" s="10"/>
      <c r="BO88" s="10"/>
      <c r="BP88" s="10"/>
      <c r="BQ88" s="10"/>
      <c r="BR88" s="10"/>
      <c r="BS88" s="10"/>
      <c r="BT88" s="10"/>
      <c r="BU88" s="10"/>
      <c r="BV88" s="10"/>
      <c r="BW88" s="10"/>
      <c r="BX88" s="34"/>
    </row>
    <row r="89" spans="1:76" x14ac:dyDescent="0.25">
      <c r="A89" s="16">
        <v>37</v>
      </c>
      <c r="B89" s="5" t="s">
        <v>266</v>
      </c>
      <c r="C89" s="6" t="s">
        <v>77</v>
      </c>
      <c r="D89" s="7">
        <v>1042</v>
      </c>
      <c r="E89" s="8">
        <v>44991</v>
      </c>
      <c r="F89" s="9">
        <v>46033</v>
      </c>
      <c r="G89" s="10">
        <v>20190451.780000001</v>
      </c>
      <c r="H89" s="11" t="s">
        <v>78</v>
      </c>
      <c r="I89" s="11" t="s">
        <v>99</v>
      </c>
      <c r="J89" s="18" t="s">
        <v>90</v>
      </c>
      <c r="K89" s="11" t="s">
        <v>146</v>
      </c>
      <c r="L89" s="11" t="s">
        <v>263</v>
      </c>
      <c r="M89" s="13">
        <v>6197590.2599999998</v>
      </c>
      <c r="N89" s="10">
        <v>15889085.540000001</v>
      </c>
      <c r="O89" s="14">
        <v>0.78696037677270836</v>
      </c>
      <c r="P89" s="10">
        <v>4301366.24</v>
      </c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  <c r="AP89" s="10"/>
      <c r="AQ89" s="10"/>
      <c r="AR89" s="10"/>
      <c r="AS89" s="10"/>
      <c r="AT89" s="10"/>
      <c r="AU89" s="10"/>
      <c r="AV89" s="10"/>
      <c r="AW89" s="10"/>
      <c r="AX89" s="10"/>
      <c r="AY89" s="10"/>
      <c r="AZ89" s="10"/>
      <c r="BA89" s="10"/>
      <c r="BB89" s="10"/>
      <c r="BC89" s="10"/>
      <c r="BD89" s="10"/>
      <c r="BE89" s="10"/>
      <c r="BF89" s="10"/>
      <c r="BG89" s="10"/>
      <c r="BH89" s="10"/>
      <c r="BI89" s="10"/>
      <c r="BJ89" s="10"/>
      <c r="BK89" s="10"/>
      <c r="BL89" s="10"/>
      <c r="BM89" s="10"/>
      <c r="BN89" s="10"/>
      <c r="BO89" s="10"/>
      <c r="BP89" s="10"/>
      <c r="BQ89" s="10"/>
      <c r="BR89" s="10"/>
      <c r="BS89" s="10"/>
      <c r="BT89" s="10"/>
      <c r="BU89" s="10"/>
      <c r="BV89" s="10"/>
      <c r="BW89" s="10"/>
      <c r="BX89" s="34"/>
    </row>
    <row r="90" spans="1:76" x14ac:dyDescent="0.25">
      <c r="A90" s="16"/>
      <c r="B90" s="5" t="s">
        <v>267</v>
      </c>
      <c r="C90" s="6" t="s">
        <v>77</v>
      </c>
      <c r="D90" s="7">
        <v>300</v>
      </c>
      <c r="E90" s="8">
        <v>45100</v>
      </c>
      <c r="F90" s="9">
        <v>45400</v>
      </c>
      <c r="G90" s="10">
        <v>6784130.4400000004</v>
      </c>
      <c r="H90" s="11" t="s">
        <v>120</v>
      </c>
      <c r="I90" s="11" t="s">
        <v>89</v>
      </c>
      <c r="J90" s="18" t="s">
        <v>90</v>
      </c>
      <c r="K90" s="11" t="s">
        <v>177</v>
      </c>
      <c r="L90" s="11" t="s">
        <v>263</v>
      </c>
      <c r="M90" s="13">
        <v>0</v>
      </c>
      <c r="N90" s="10">
        <v>0</v>
      </c>
      <c r="O90" s="14">
        <v>0</v>
      </c>
      <c r="P90" s="10">
        <v>6784130.4400000004</v>
      </c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10"/>
      <c r="AN90" s="10"/>
      <c r="AO90" s="10"/>
      <c r="AP90" s="10"/>
      <c r="AQ90" s="10"/>
      <c r="AR90" s="10"/>
      <c r="AS90" s="10"/>
      <c r="AT90" s="10"/>
      <c r="AU90" s="10"/>
      <c r="AV90" s="10"/>
      <c r="AW90" s="10"/>
      <c r="AX90" s="10"/>
      <c r="AY90" s="10"/>
      <c r="AZ90" s="10"/>
      <c r="BA90" s="10"/>
      <c r="BB90" s="10"/>
      <c r="BC90" s="10"/>
      <c r="BD90" s="10"/>
      <c r="BE90" s="10"/>
      <c r="BF90" s="10"/>
      <c r="BG90" s="10"/>
      <c r="BH90" s="10"/>
      <c r="BI90" s="10"/>
      <c r="BJ90" s="10"/>
      <c r="BK90" s="10"/>
      <c r="BL90" s="10"/>
      <c r="BM90" s="10"/>
      <c r="BN90" s="10"/>
      <c r="BO90" s="10"/>
      <c r="BP90" s="10"/>
      <c r="BQ90" s="10"/>
      <c r="BR90" s="10"/>
      <c r="BS90" s="10"/>
      <c r="BT90" s="10"/>
      <c r="BU90" s="10"/>
      <c r="BV90" s="10"/>
      <c r="BW90" s="10"/>
      <c r="BX90" s="15"/>
    </row>
    <row r="91" spans="1:76" x14ac:dyDescent="0.25">
      <c r="A91" s="16"/>
      <c r="B91" s="5" t="s">
        <v>268</v>
      </c>
      <c r="C91" s="6" t="s">
        <v>77</v>
      </c>
      <c r="D91" s="7">
        <v>724</v>
      </c>
      <c r="E91" s="8">
        <v>45019</v>
      </c>
      <c r="F91" s="9">
        <v>45743</v>
      </c>
      <c r="G91" s="10">
        <v>30599999.010000002</v>
      </c>
      <c r="H91" s="11" t="s">
        <v>98</v>
      </c>
      <c r="I91" s="11" t="s">
        <v>84</v>
      </c>
      <c r="J91" s="12" t="s">
        <v>80</v>
      </c>
      <c r="K91" s="11" t="s">
        <v>218</v>
      </c>
      <c r="L91" s="11" t="s">
        <v>263</v>
      </c>
      <c r="M91" s="13">
        <v>0</v>
      </c>
      <c r="N91" s="10">
        <v>30456294.330000002</v>
      </c>
      <c r="O91" s="14">
        <v>0.99530376847551405</v>
      </c>
      <c r="P91" s="10">
        <v>143704.6799999997</v>
      </c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5"/>
    </row>
    <row r="92" spans="1:76" x14ac:dyDescent="0.25">
      <c r="A92" s="16">
        <v>38</v>
      </c>
      <c r="B92" s="5" t="s">
        <v>269</v>
      </c>
      <c r="C92" s="6" t="s">
        <v>77</v>
      </c>
      <c r="D92" s="7">
        <v>1114</v>
      </c>
      <c r="E92" s="8">
        <v>44909</v>
      </c>
      <c r="F92" s="9">
        <v>46023</v>
      </c>
      <c r="G92" s="10">
        <v>7795660.46</v>
      </c>
      <c r="H92" s="11" t="s">
        <v>78</v>
      </c>
      <c r="I92" s="11" t="s">
        <v>79</v>
      </c>
      <c r="J92" s="12" t="s">
        <v>80</v>
      </c>
      <c r="K92" s="11" t="s">
        <v>81</v>
      </c>
      <c r="L92" s="11" t="s">
        <v>270</v>
      </c>
      <c r="M92" s="13">
        <v>959686.40999999992</v>
      </c>
      <c r="N92" s="10">
        <v>7571952.2800000012</v>
      </c>
      <c r="O92" s="14">
        <v>0.97130349876731303</v>
      </c>
      <c r="P92" s="10">
        <v>223708.17999999877</v>
      </c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0"/>
      <c r="AI92" s="10"/>
      <c r="AJ92" s="10"/>
      <c r="AK92" s="10"/>
      <c r="AL92" s="10"/>
      <c r="AM92" s="10"/>
      <c r="AN92" s="10"/>
      <c r="AO92" s="10"/>
      <c r="AP92" s="10"/>
      <c r="AQ92" s="10"/>
      <c r="AR92" s="10"/>
      <c r="AS92" s="10"/>
      <c r="AT92" s="10"/>
      <c r="AU92" s="10"/>
      <c r="AV92" s="10"/>
      <c r="AW92" s="10"/>
      <c r="AX92" s="10"/>
      <c r="AY92" s="10"/>
      <c r="AZ92" s="10"/>
      <c r="BA92" s="10"/>
      <c r="BB92" s="10"/>
      <c r="BC92" s="10"/>
      <c r="BD92" s="10"/>
      <c r="BE92" s="10"/>
      <c r="BF92" s="10"/>
      <c r="BG92" s="10"/>
      <c r="BH92" s="10"/>
      <c r="BI92" s="10"/>
      <c r="BJ92" s="10"/>
      <c r="BK92" s="10"/>
      <c r="BL92" s="10"/>
      <c r="BM92" s="10"/>
      <c r="BN92" s="10"/>
      <c r="BO92" s="10"/>
      <c r="BP92" s="10"/>
      <c r="BQ92" s="10"/>
      <c r="BR92" s="10"/>
      <c r="BS92" s="10"/>
      <c r="BT92" s="10"/>
      <c r="BU92" s="10"/>
      <c r="BV92" s="10"/>
      <c r="BW92" s="10"/>
      <c r="BX92" s="34"/>
    </row>
    <row r="93" spans="1:76" x14ac:dyDescent="0.25">
      <c r="A93" s="16"/>
      <c r="B93" s="5" t="s">
        <v>271</v>
      </c>
      <c r="C93" s="6" t="s">
        <v>77</v>
      </c>
      <c r="D93" s="7">
        <v>993</v>
      </c>
      <c r="E93" s="8">
        <v>44823</v>
      </c>
      <c r="F93" s="9">
        <v>45816</v>
      </c>
      <c r="G93" s="10">
        <v>26946699.359999999</v>
      </c>
      <c r="H93" s="11" t="s">
        <v>98</v>
      </c>
      <c r="I93" s="11" t="s">
        <v>99</v>
      </c>
      <c r="J93" s="12" t="s">
        <v>80</v>
      </c>
      <c r="K93" s="11" t="s">
        <v>113</v>
      </c>
      <c r="L93" s="11" t="s">
        <v>272</v>
      </c>
      <c r="M93" s="13">
        <v>0</v>
      </c>
      <c r="N93" s="10">
        <v>26930984.009999994</v>
      </c>
      <c r="O93" s="14">
        <v>0.99941679870361666</v>
      </c>
      <c r="P93" s="10">
        <v>15715.350000005215</v>
      </c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10"/>
      <c r="AT93" s="10"/>
      <c r="AU93" s="10"/>
      <c r="AV93" s="10"/>
      <c r="AW93" s="10"/>
      <c r="AX93" s="10"/>
      <c r="AY93" s="10"/>
      <c r="AZ93" s="10"/>
      <c r="BA93" s="10"/>
      <c r="BB93" s="10"/>
      <c r="BC93" s="10"/>
      <c r="BD93" s="10"/>
      <c r="BE93" s="10"/>
      <c r="BF93" s="10"/>
      <c r="BG93" s="10"/>
      <c r="BH93" s="10"/>
      <c r="BI93" s="10"/>
      <c r="BJ93" s="10"/>
      <c r="BK93" s="10"/>
      <c r="BL93" s="10"/>
      <c r="BM93" s="10"/>
      <c r="BN93" s="10"/>
      <c r="BO93" s="10"/>
      <c r="BP93" s="10"/>
      <c r="BQ93" s="10"/>
      <c r="BR93" s="10"/>
      <c r="BS93" s="10"/>
      <c r="BT93" s="10"/>
      <c r="BU93" s="10"/>
      <c r="BV93" s="10"/>
      <c r="BW93" s="10"/>
      <c r="BX93" s="15"/>
    </row>
    <row r="94" spans="1:76" x14ac:dyDescent="0.25">
      <c r="A94" s="16"/>
      <c r="B94" s="5" t="s">
        <v>273</v>
      </c>
      <c r="C94" s="6" t="s">
        <v>77</v>
      </c>
      <c r="D94" s="7">
        <v>759</v>
      </c>
      <c r="E94" s="8">
        <v>44708</v>
      </c>
      <c r="F94" s="9">
        <v>45467</v>
      </c>
      <c r="G94" s="10">
        <v>6014775.7699999996</v>
      </c>
      <c r="H94" s="11" t="s">
        <v>98</v>
      </c>
      <c r="I94" s="11" t="s">
        <v>99</v>
      </c>
      <c r="J94" s="18" t="s">
        <v>90</v>
      </c>
      <c r="K94" s="11" t="s">
        <v>107</v>
      </c>
      <c r="L94" s="11" t="s">
        <v>272</v>
      </c>
      <c r="M94" s="13">
        <v>0</v>
      </c>
      <c r="N94" s="10">
        <v>5996889.6800000006</v>
      </c>
      <c r="O94" s="14">
        <v>0.9970263080979328</v>
      </c>
      <c r="P94" s="10">
        <v>17886.08999999892</v>
      </c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10"/>
      <c r="AO94" s="10"/>
      <c r="AP94" s="10"/>
      <c r="AQ94" s="10"/>
      <c r="AR94" s="10"/>
      <c r="AS94" s="10"/>
      <c r="AT94" s="10"/>
      <c r="AU94" s="10"/>
      <c r="AV94" s="10"/>
      <c r="AW94" s="10"/>
      <c r="AX94" s="10"/>
      <c r="AY94" s="10"/>
      <c r="AZ94" s="10"/>
      <c r="BA94" s="10"/>
      <c r="BB94" s="10"/>
      <c r="BC94" s="10"/>
      <c r="BD94" s="10"/>
      <c r="BE94" s="10"/>
      <c r="BF94" s="10"/>
      <c r="BG94" s="10"/>
      <c r="BH94" s="10"/>
      <c r="BI94" s="10"/>
      <c r="BJ94" s="10"/>
      <c r="BK94" s="10"/>
      <c r="BL94" s="10"/>
      <c r="BM94" s="10"/>
      <c r="BN94" s="10"/>
      <c r="BO94" s="10"/>
      <c r="BP94" s="10"/>
      <c r="BQ94" s="10"/>
      <c r="BR94" s="10"/>
      <c r="BS94" s="10"/>
      <c r="BT94" s="10"/>
      <c r="BU94" s="10"/>
      <c r="BV94" s="10"/>
      <c r="BW94" s="10"/>
      <c r="BX94" s="15"/>
    </row>
    <row r="95" spans="1:76" x14ac:dyDescent="0.25">
      <c r="A95" s="16"/>
      <c r="B95" s="5" t="s">
        <v>274</v>
      </c>
      <c r="C95" s="6" t="s">
        <v>77</v>
      </c>
      <c r="D95" s="7">
        <v>768</v>
      </c>
      <c r="E95" s="8">
        <v>44658</v>
      </c>
      <c r="F95" s="9">
        <v>45426</v>
      </c>
      <c r="G95" s="10">
        <v>3569195.39</v>
      </c>
      <c r="H95" s="11" t="s">
        <v>120</v>
      </c>
      <c r="I95" s="11" t="s">
        <v>99</v>
      </c>
      <c r="J95" s="18" t="s">
        <v>90</v>
      </c>
      <c r="K95" s="11" t="s">
        <v>107</v>
      </c>
      <c r="L95" s="11" t="s">
        <v>272</v>
      </c>
      <c r="M95" s="13">
        <v>0</v>
      </c>
      <c r="N95" s="10">
        <v>3538001.1599999997</v>
      </c>
      <c r="O95" s="14">
        <v>0.99126015065260953</v>
      </c>
      <c r="P95" s="10">
        <v>31194.230000000447</v>
      </c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  <c r="AN95" s="10"/>
      <c r="AO95" s="10"/>
      <c r="AP95" s="10"/>
      <c r="AQ95" s="10"/>
      <c r="AR95" s="10"/>
      <c r="AS95" s="10"/>
      <c r="AT95" s="10"/>
      <c r="AU95" s="10"/>
      <c r="AV95" s="10"/>
      <c r="AW95" s="10"/>
      <c r="AX95" s="10"/>
      <c r="AY95" s="10"/>
      <c r="AZ95" s="10"/>
      <c r="BA95" s="10"/>
      <c r="BB95" s="10"/>
      <c r="BC95" s="10"/>
      <c r="BD95" s="10"/>
      <c r="BE95" s="10"/>
      <c r="BF95" s="10"/>
      <c r="BG95" s="10"/>
      <c r="BH95" s="10"/>
      <c r="BI95" s="10"/>
      <c r="BJ95" s="10"/>
      <c r="BK95" s="10"/>
      <c r="BL95" s="10"/>
      <c r="BM95" s="10"/>
      <c r="BN95" s="10"/>
      <c r="BO95" s="10"/>
      <c r="BP95" s="10"/>
      <c r="BQ95" s="10"/>
      <c r="BR95" s="10"/>
      <c r="BS95" s="10"/>
      <c r="BT95" s="10"/>
      <c r="BU95" s="10"/>
      <c r="BV95" s="10"/>
      <c r="BW95" s="10"/>
      <c r="BX95" s="15"/>
    </row>
    <row r="96" spans="1:76" x14ac:dyDescent="0.25">
      <c r="A96" s="16">
        <v>39</v>
      </c>
      <c r="B96" s="5" t="s">
        <v>275</v>
      </c>
      <c r="C96" s="20" t="s">
        <v>276</v>
      </c>
      <c r="D96" s="7">
        <v>374</v>
      </c>
      <c r="E96" s="8">
        <v>45848</v>
      </c>
      <c r="F96" s="9">
        <v>46222</v>
      </c>
      <c r="G96" s="10">
        <v>7066834.9000000004</v>
      </c>
      <c r="H96" s="11" t="s">
        <v>78</v>
      </c>
      <c r="I96" s="11" t="s">
        <v>99</v>
      </c>
      <c r="J96" s="17" t="s">
        <v>85</v>
      </c>
      <c r="K96" s="11" t="s">
        <v>133</v>
      </c>
      <c r="L96" s="11" t="s">
        <v>277</v>
      </c>
      <c r="M96" s="13">
        <v>4381697.88</v>
      </c>
      <c r="N96" s="10">
        <v>4381697.88</v>
      </c>
      <c r="O96" s="14">
        <v>0.62003682582141539</v>
      </c>
      <c r="P96" s="10">
        <v>2685137.0200000005</v>
      </c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  <c r="AJ96" s="10"/>
      <c r="AK96" s="10"/>
      <c r="AL96" s="10"/>
      <c r="AM96" s="10"/>
      <c r="AN96" s="10"/>
      <c r="AO96" s="10"/>
      <c r="AP96" s="10"/>
      <c r="AQ96" s="10"/>
      <c r="AR96" s="10"/>
      <c r="AS96" s="10"/>
      <c r="AT96" s="10"/>
      <c r="AU96" s="10"/>
      <c r="AV96" s="10"/>
      <c r="AW96" s="10"/>
      <c r="AX96" s="10"/>
      <c r="AY96" s="10"/>
      <c r="AZ96" s="10"/>
      <c r="BA96" s="10"/>
      <c r="BB96" s="10"/>
      <c r="BC96" s="10"/>
      <c r="BD96" s="10"/>
      <c r="BE96" s="10"/>
      <c r="BF96" s="10"/>
      <c r="BG96" s="10"/>
      <c r="BH96" s="10"/>
      <c r="BI96" s="10"/>
      <c r="BJ96" s="10"/>
      <c r="BK96" s="10"/>
      <c r="BL96" s="10"/>
      <c r="BM96" s="10"/>
      <c r="BN96" s="10"/>
      <c r="BO96" s="10"/>
      <c r="BP96" s="10"/>
      <c r="BQ96" s="10"/>
      <c r="BR96" s="10"/>
      <c r="BS96" s="10"/>
      <c r="BT96" s="10"/>
      <c r="BU96" s="10"/>
      <c r="BV96" s="10"/>
      <c r="BW96" s="10"/>
      <c r="BX96" s="34"/>
    </row>
    <row r="97" spans="1:76" x14ac:dyDescent="0.25">
      <c r="A97" s="16"/>
      <c r="B97" s="5" t="s">
        <v>278</v>
      </c>
      <c r="C97" s="20" t="s">
        <v>276</v>
      </c>
      <c r="D97" s="7">
        <v>210</v>
      </c>
      <c r="E97" s="8">
        <v>45776</v>
      </c>
      <c r="F97" s="9">
        <v>45986</v>
      </c>
      <c r="G97" s="10">
        <v>1612154.63</v>
      </c>
      <c r="H97" s="11" t="s">
        <v>98</v>
      </c>
      <c r="I97" s="11" t="s">
        <v>99</v>
      </c>
      <c r="J97" s="19" t="s">
        <v>160</v>
      </c>
      <c r="K97" s="11" t="s">
        <v>279</v>
      </c>
      <c r="L97" s="11" t="s">
        <v>280</v>
      </c>
      <c r="M97" s="13">
        <v>1612016.3299999998</v>
      </c>
      <c r="N97" s="10">
        <v>1612016.3299999998</v>
      </c>
      <c r="O97" s="14">
        <v>0.99991421418428073</v>
      </c>
      <c r="P97" s="10">
        <v>138.30000000004657</v>
      </c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0"/>
      <c r="AK97" s="10"/>
      <c r="AL97" s="10"/>
      <c r="AM97" s="10"/>
      <c r="AN97" s="10"/>
      <c r="AO97" s="10"/>
      <c r="AP97" s="10"/>
      <c r="AQ97" s="10"/>
      <c r="AR97" s="10"/>
      <c r="AS97" s="10"/>
      <c r="AT97" s="10"/>
      <c r="AU97" s="10"/>
      <c r="AV97" s="10"/>
      <c r="AW97" s="10"/>
      <c r="AX97" s="10"/>
      <c r="AY97" s="10"/>
      <c r="AZ97" s="10"/>
      <c r="BA97" s="10"/>
      <c r="BB97" s="10"/>
      <c r="BC97" s="10"/>
      <c r="BD97" s="10"/>
      <c r="BE97" s="10"/>
      <c r="BF97" s="10"/>
      <c r="BG97" s="10"/>
      <c r="BH97" s="10"/>
      <c r="BI97" s="10"/>
      <c r="BJ97" s="10"/>
      <c r="BK97" s="10"/>
      <c r="BL97" s="10"/>
      <c r="BM97" s="10"/>
      <c r="BN97" s="10"/>
      <c r="BO97" s="10"/>
      <c r="BP97" s="10"/>
      <c r="BQ97" s="10"/>
      <c r="BR97" s="10"/>
      <c r="BS97" s="10"/>
      <c r="BT97" s="10"/>
      <c r="BU97" s="10"/>
      <c r="BV97" s="10"/>
      <c r="BW97" s="10"/>
      <c r="BX97" s="15"/>
    </row>
    <row r="98" spans="1:76" x14ac:dyDescent="0.25">
      <c r="A98" s="16">
        <v>40</v>
      </c>
      <c r="B98" s="5" t="s">
        <v>281</v>
      </c>
      <c r="C98" s="20" t="s">
        <v>276</v>
      </c>
      <c r="D98" s="7">
        <v>360</v>
      </c>
      <c r="E98" s="8">
        <v>45867</v>
      </c>
      <c r="F98" s="9">
        <v>46227</v>
      </c>
      <c r="G98" s="10">
        <v>10349390.52</v>
      </c>
      <c r="H98" s="11" t="s">
        <v>78</v>
      </c>
      <c r="I98" s="11" t="s">
        <v>99</v>
      </c>
      <c r="J98" s="18" t="s">
        <v>90</v>
      </c>
      <c r="K98" s="11" t="s">
        <v>148</v>
      </c>
      <c r="L98" s="11" t="s">
        <v>282</v>
      </c>
      <c r="M98" s="13">
        <v>2420969.38</v>
      </c>
      <c r="N98" s="10">
        <v>2420969.38</v>
      </c>
      <c r="O98" s="14">
        <v>0.23392386008833302</v>
      </c>
      <c r="P98" s="10">
        <v>7928421.1399999997</v>
      </c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  <c r="AJ98" s="10"/>
      <c r="AK98" s="10"/>
      <c r="AL98" s="10"/>
      <c r="AM98" s="10"/>
      <c r="AN98" s="10"/>
      <c r="AO98" s="10"/>
      <c r="AP98" s="10"/>
      <c r="AQ98" s="10"/>
      <c r="AR98" s="10"/>
      <c r="AS98" s="10"/>
      <c r="AT98" s="10"/>
      <c r="AU98" s="10"/>
      <c r="AV98" s="10"/>
      <c r="AW98" s="10"/>
      <c r="AX98" s="10"/>
      <c r="AY98" s="10"/>
      <c r="AZ98" s="10"/>
      <c r="BA98" s="10"/>
      <c r="BB98" s="10"/>
      <c r="BC98" s="10"/>
      <c r="BD98" s="10"/>
      <c r="BE98" s="10"/>
      <c r="BF98" s="10"/>
      <c r="BG98" s="10"/>
      <c r="BH98" s="10"/>
      <c r="BI98" s="10"/>
      <c r="BJ98" s="10"/>
      <c r="BK98" s="10"/>
      <c r="BL98" s="10"/>
      <c r="BM98" s="10"/>
      <c r="BN98" s="10"/>
      <c r="BO98" s="10"/>
      <c r="BP98" s="10"/>
      <c r="BQ98" s="10"/>
      <c r="BR98" s="10"/>
      <c r="BS98" s="10"/>
      <c r="BT98" s="10"/>
      <c r="BU98" s="10"/>
      <c r="BV98" s="10"/>
      <c r="BW98" s="10"/>
      <c r="BX98" s="34"/>
    </row>
    <row r="99" spans="1:76" x14ac:dyDescent="0.25">
      <c r="A99" s="16"/>
      <c r="B99" s="5" t="s">
        <v>283</v>
      </c>
      <c r="C99" s="20" t="s">
        <v>276</v>
      </c>
      <c r="D99" s="7">
        <v>359</v>
      </c>
      <c r="E99" s="8">
        <v>45646</v>
      </c>
      <c r="F99" s="9">
        <v>46005</v>
      </c>
      <c r="G99" s="10">
        <v>25179808.670000002</v>
      </c>
      <c r="H99" s="11" t="s">
        <v>98</v>
      </c>
      <c r="I99" s="11" t="s">
        <v>99</v>
      </c>
      <c r="J99" s="12" t="s">
        <v>80</v>
      </c>
      <c r="K99" s="11" t="s">
        <v>110</v>
      </c>
      <c r="L99" s="11" t="s">
        <v>284</v>
      </c>
      <c r="M99" s="13">
        <v>21884193.460000001</v>
      </c>
      <c r="N99" s="10">
        <v>25102277.930000003</v>
      </c>
      <c r="O99" s="14">
        <v>0.99692091623824086</v>
      </c>
      <c r="P99" s="10">
        <v>77530.739999998361</v>
      </c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10"/>
      <c r="AL99" s="10"/>
      <c r="AM99" s="10"/>
      <c r="AN99" s="10"/>
      <c r="AO99" s="10"/>
      <c r="AP99" s="10"/>
      <c r="AQ99" s="10"/>
      <c r="AR99" s="10"/>
      <c r="AS99" s="10"/>
      <c r="AT99" s="10"/>
      <c r="AU99" s="10"/>
      <c r="AV99" s="10"/>
      <c r="AW99" s="10"/>
      <c r="AX99" s="10"/>
      <c r="AY99" s="10"/>
      <c r="AZ99" s="10"/>
      <c r="BA99" s="10"/>
      <c r="BB99" s="10"/>
      <c r="BC99" s="10"/>
      <c r="BD99" s="10"/>
      <c r="BE99" s="10"/>
      <c r="BF99" s="10"/>
      <c r="BG99" s="10"/>
      <c r="BH99" s="10"/>
      <c r="BI99" s="10"/>
      <c r="BJ99" s="10"/>
      <c r="BK99" s="10"/>
      <c r="BL99" s="10"/>
      <c r="BM99" s="10"/>
      <c r="BN99" s="10"/>
      <c r="BO99" s="10"/>
      <c r="BP99" s="10"/>
      <c r="BQ99" s="10"/>
      <c r="BR99" s="10"/>
      <c r="BS99" s="10"/>
      <c r="BT99" s="10"/>
      <c r="BU99" s="10"/>
      <c r="BV99" s="10"/>
      <c r="BW99" s="10"/>
      <c r="BX99" s="15"/>
    </row>
    <row r="100" spans="1:76" x14ac:dyDescent="0.25">
      <c r="A100" s="16"/>
      <c r="B100" s="5" t="s">
        <v>285</v>
      </c>
      <c r="C100" s="20" t="s">
        <v>276</v>
      </c>
      <c r="D100" s="7">
        <v>181</v>
      </c>
      <c r="E100" s="8">
        <v>45783</v>
      </c>
      <c r="F100" s="9">
        <v>45964</v>
      </c>
      <c r="G100" s="10">
        <v>666913.68000000005</v>
      </c>
      <c r="H100" s="11" t="s">
        <v>98</v>
      </c>
      <c r="I100" s="11" t="s">
        <v>99</v>
      </c>
      <c r="J100" s="18" t="s">
        <v>90</v>
      </c>
      <c r="K100" s="11" t="s">
        <v>148</v>
      </c>
      <c r="L100" s="11" t="s">
        <v>261</v>
      </c>
      <c r="M100" s="13">
        <v>666913.68000000005</v>
      </c>
      <c r="N100" s="10">
        <v>666913.68000000005</v>
      </c>
      <c r="O100" s="14">
        <v>1</v>
      </c>
      <c r="P100" s="10">
        <v>0</v>
      </c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  <c r="AN100" s="10"/>
      <c r="AO100" s="10"/>
      <c r="AP100" s="10"/>
      <c r="AQ100" s="10"/>
      <c r="AR100" s="10"/>
      <c r="AS100" s="10"/>
      <c r="AT100" s="10"/>
      <c r="AU100" s="10"/>
      <c r="AV100" s="10"/>
      <c r="AW100" s="10"/>
      <c r="AX100" s="10"/>
      <c r="AY100" s="10"/>
      <c r="AZ100" s="10"/>
      <c r="BA100" s="10"/>
      <c r="BB100" s="10"/>
      <c r="BC100" s="10"/>
      <c r="BD100" s="10"/>
      <c r="BE100" s="10"/>
      <c r="BF100" s="10"/>
      <c r="BG100" s="10"/>
      <c r="BH100" s="10"/>
      <c r="BI100" s="10"/>
      <c r="BJ100" s="10"/>
      <c r="BK100" s="10"/>
      <c r="BL100" s="10"/>
      <c r="BM100" s="10"/>
      <c r="BN100" s="10"/>
      <c r="BO100" s="10"/>
      <c r="BP100" s="10"/>
      <c r="BQ100" s="10"/>
      <c r="BR100" s="10"/>
      <c r="BS100" s="10"/>
      <c r="BT100" s="10"/>
      <c r="BU100" s="10"/>
      <c r="BV100" s="10"/>
      <c r="BW100" s="10"/>
      <c r="BX100" s="15"/>
    </row>
    <row r="101" spans="1:76" x14ac:dyDescent="0.25">
      <c r="A101" s="16">
        <v>41</v>
      </c>
      <c r="B101" s="5" t="s">
        <v>286</v>
      </c>
      <c r="C101" s="20" t="s">
        <v>276</v>
      </c>
      <c r="D101" s="7">
        <v>332</v>
      </c>
      <c r="E101" s="8">
        <v>45783</v>
      </c>
      <c r="F101" s="9">
        <v>46115</v>
      </c>
      <c r="G101" s="10">
        <v>763285.07</v>
      </c>
      <c r="H101" s="11" t="s">
        <v>78</v>
      </c>
      <c r="I101" s="11" t="s">
        <v>99</v>
      </c>
      <c r="J101" s="18" t="s">
        <v>90</v>
      </c>
      <c r="K101" s="11" t="s">
        <v>148</v>
      </c>
      <c r="L101" s="11" t="s">
        <v>261</v>
      </c>
      <c r="M101" s="13">
        <v>548089.30999999994</v>
      </c>
      <c r="N101" s="10">
        <v>548089.30999999994</v>
      </c>
      <c r="O101" s="14">
        <v>0.71806633136424369</v>
      </c>
      <c r="P101" s="10">
        <v>215195.76</v>
      </c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  <c r="AP101" s="10"/>
      <c r="AQ101" s="10"/>
      <c r="AR101" s="10"/>
      <c r="AS101" s="10"/>
      <c r="AT101" s="10"/>
      <c r="AU101" s="10"/>
      <c r="AV101" s="10"/>
      <c r="AW101" s="10"/>
      <c r="AX101" s="10"/>
      <c r="AY101" s="10"/>
      <c r="AZ101" s="10"/>
      <c r="BA101" s="10"/>
      <c r="BB101" s="10"/>
      <c r="BC101" s="10"/>
      <c r="BD101" s="10"/>
      <c r="BE101" s="10"/>
      <c r="BF101" s="10"/>
      <c r="BG101" s="10"/>
      <c r="BH101" s="10"/>
      <c r="BI101" s="10"/>
      <c r="BJ101" s="10"/>
      <c r="BK101" s="10"/>
      <c r="BL101" s="10"/>
      <c r="BM101" s="10"/>
      <c r="BN101" s="10"/>
      <c r="BO101" s="10"/>
      <c r="BP101" s="10"/>
      <c r="BQ101" s="10"/>
      <c r="BR101" s="10"/>
      <c r="BS101" s="10"/>
      <c r="BT101" s="10"/>
      <c r="BU101" s="10"/>
      <c r="BV101" s="10"/>
      <c r="BW101" s="10"/>
      <c r="BX101" s="34"/>
    </row>
    <row r="102" spans="1:76" x14ac:dyDescent="0.25">
      <c r="A102" s="16"/>
      <c r="B102" s="5" t="s">
        <v>287</v>
      </c>
      <c r="C102" s="20" t="s">
        <v>276</v>
      </c>
      <c r="D102" s="7">
        <v>90</v>
      </c>
      <c r="E102" s="8">
        <v>45915</v>
      </c>
      <c r="F102" s="9">
        <v>46005</v>
      </c>
      <c r="G102" s="10">
        <v>256613.37</v>
      </c>
      <c r="H102" s="11" t="s">
        <v>288</v>
      </c>
      <c r="I102" s="11" t="s">
        <v>89</v>
      </c>
      <c r="J102" s="19" t="s">
        <v>160</v>
      </c>
      <c r="K102" s="11" t="s">
        <v>161</v>
      </c>
      <c r="L102" s="11" t="s">
        <v>289</v>
      </c>
      <c r="M102" s="13">
        <v>164482.69</v>
      </c>
      <c r="N102" s="10">
        <v>164482.69</v>
      </c>
      <c r="O102" s="14">
        <v>0.64097474734071724</v>
      </c>
      <c r="P102" s="10">
        <v>92130.68</v>
      </c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  <c r="AN102" s="10"/>
      <c r="AO102" s="10"/>
      <c r="AP102" s="10"/>
      <c r="AQ102" s="10"/>
      <c r="AR102" s="10"/>
      <c r="AS102" s="10"/>
      <c r="AT102" s="10"/>
      <c r="AU102" s="10"/>
      <c r="AV102" s="10"/>
      <c r="AW102" s="10"/>
      <c r="AX102" s="10"/>
      <c r="AY102" s="10"/>
      <c r="AZ102" s="10"/>
      <c r="BA102" s="10"/>
      <c r="BB102" s="10"/>
      <c r="BC102" s="10"/>
      <c r="BD102" s="10"/>
      <c r="BE102" s="10"/>
      <c r="BF102" s="10"/>
      <c r="BG102" s="10"/>
      <c r="BH102" s="10"/>
      <c r="BI102" s="10"/>
      <c r="BJ102" s="10"/>
      <c r="BK102" s="10"/>
      <c r="BL102" s="10"/>
      <c r="BM102" s="10"/>
      <c r="BN102" s="10"/>
      <c r="BO102" s="10"/>
      <c r="BP102" s="10"/>
      <c r="BQ102" s="10"/>
      <c r="BR102" s="10"/>
      <c r="BS102" s="10"/>
      <c r="BT102" s="10"/>
      <c r="BU102" s="10"/>
      <c r="BV102" s="10"/>
      <c r="BW102" s="10"/>
      <c r="BX102" s="15"/>
    </row>
    <row r="103" spans="1:76" x14ac:dyDescent="0.25">
      <c r="A103" s="16">
        <v>42</v>
      </c>
      <c r="B103" s="5" t="s">
        <v>290</v>
      </c>
      <c r="C103" s="20" t="s">
        <v>276</v>
      </c>
      <c r="D103" s="7">
        <v>180</v>
      </c>
      <c r="E103" s="8">
        <v>45917</v>
      </c>
      <c r="F103" s="9">
        <v>46097</v>
      </c>
      <c r="G103" s="10">
        <v>2742607.66</v>
      </c>
      <c r="H103" s="11" t="s">
        <v>78</v>
      </c>
      <c r="I103" s="11" t="s">
        <v>99</v>
      </c>
      <c r="J103" s="17" t="s">
        <v>85</v>
      </c>
      <c r="K103" s="11" t="s">
        <v>291</v>
      </c>
      <c r="L103" s="11" t="s">
        <v>292</v>
      </c>
      <c r="M103" s="13">
        <v>0</v>
      </c>
      <c r="N103" s="10">
        <v>0</v>
      </c>
      <c r="O103" s="14">
        <v>0</v>
      </c>
      <c r="P103" s="10">
        <v>2742607.66</v>
      </c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  <c r="AN103" s="10"/>
      <c r="AO103" s="10"/>
      <c r="AP103" s="10"/>
      <c r="AQ103" s="10"/>
      <c r="AR103" s="10"/>
      <c r="AS103" s="10"/>
      <c r="AT103" s="10"/>
      <c r="AU103" s="10"/>
      <c r="AV103" s="10"/>
      <c r="AW103" s="10"/>
      <c r="AX103" s="10"/>
      <c r="AY103" s="10"/>
      <c r="AZ103" s="10"/>
      <c r="BA103" s="10"/>
      <c r="BB103" s="10"/>
      <c r="BC103" s="10"/>
      <c r="BD103" s="10"/>
      <c r="BE103" s="10"/>
      <c r="BF103" s="10"/>
      <c r="BG103" s="10"/>
      <c r="BH103" s="10"/>
      <c r="BI103" s="10"/>
      <c r="BJ103" s="10"/>
      <c r="BK103" s="10"/>
      <c r="BL103" s="10"/>
      <c r="BM103" s="10"/>
      <c r="BN103" s="10"/>
      <c r="BO103" s="10"/>
      <c r="BP103" s="10"/>
      <c r="BQ103" s="10"/>
      <c r="BR103" s="10"/>
      <c r="BS103" s="10"/>
      <c r="BT103" s="10"/>
      <c r="BU103" s="10"/>
      <c r="BV103" s="10"/>
      <c r="BW103" s="10"/>
      <c r="BX103" s="34"/>
    </row>
    <row r="104" spans="1:76" x14ac:dyDescent="0.25">
      <c r="A104" s="16"/>
      <c r="B104" s="5" t="s">
        <v>293</v>
      </c>
      <c r="C104" s="21" t="s">
        <v>294</v>
      </c>
      <c r="D104" s="7">
        <v>570</v>
      </c>
      <c r="E104" s="8">
        <v>44613</v>
      </c>
      <c r="F104" s="9">
        <v>45183</v>
      </c>
      <c r="G104" s="10">
        <v>1052239.53</v>
      </c>
      <c r="H104" s="11" t="s">
        <v>98</v>
      </c>
      <c r="I104" s="11" t="s">
        <v>295</v>
      </c>
      <c r="J104" s="19" t="s">
        <v>160</v>
      </c>
      <c r="K104" s="11" t="s">
        <v>161</v>
      </c>
      <c r="L104" s="11" t="s">
        <v>296</v>
      </c>
      <c r="M104" s="13">
        <v>0</v>
      </c>
      <c r="N104" s="10">
        <v>1006235.15</v>
      </c>
      <c r="O104" s="14">
        <v>0.95627955547345767</v>
      </c>
      <c r="P104" s="10">
        <v>46004.380000000005</v>
      </c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  <c r="AX104" s="10"/>
      <c r="AY104" s="10"/>
      <c r="AZ104" s="10"/>
      <c r="BA104" s="10"/>
      <c r="BB104" s="10"/>
      <c r="BC104" s="10"/>
      <c r="BD104" s="10"/>
      <c r="BE104" s="10"/>
      <c r="BF104" s="10"/>
      <c r="BG104" s="10"/>
      <c r="BH104" s="10"/>
      <c r="BI104" s="10"/>
      <c r="BJ104" s="10"/>
      <c r="BK104" s="10"/>
      <c r="BL104" s="10"/>
      <c r="BM104" s="10"/>
      <c r="BN104" s="10"/>
      <c r="BO104" s="10"/>
      <c r="BP104" s="10"/>
      <c r="BQ104" s="10"/>
      <c r="BR104" s="10"/>
      <c r="BS104" s="10"/>
      <c r="BT104" s="10"/>
      <c r="BU104" s="10"/>
      <c r="BV104" s="10"/>
      <c r="BW104" s="10"/>
      <c r="BX104" s="15"/>
    </row>
    <row r="105" spans="1:76" x14ac:dyDescent="0.25">
      <c r="A105" s="16"/>
      <c r="B105" s="5" t="s">
        <v>297</v>
      </c>
      <c r="C105" s="21" t="s">
        <v>294</v>
      </c>
      <c r="D105" s="7">
        <v>596</v>
      </c>
      <c r="E105" s="8">
        <v>44917</v>
      </c>
      <c r="F105" s="9">
        <v>45513</v>
      </c>
      <c r="G105" s="10">
        <v>14782911.98</v>
      </c>
      <c r="H105" s="11" t="s">
        <v>98</v>
      </c>
      <c r="I105" s="11" t="s">
        <v>79</v>
      </c>
      <c r="J105" s="18" t="s">
        <v>90</v>
      </c>
      <c r="K105" s="11" t="s">
        <v>298</v>
      </c>
      <c r="L105" s="11" t="s">
        <v>299</v>
      </c>
      <c r="M105" s="13">
        <v>0</v>
      </c>
      <c r="N105" s="10">
        <v>13180256.4</v>
      </c>
      <c r="O105" s="14">
        <v>0.89158728793296915</v>
      </c>
      <c r="P105" s="10">
        <v>1602655.58</v>
      </c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  <c r="AW105" s="10"/>
      <c r="AX105" s="10"/>
      <c r="AY105" s="10"/>
      <c r="AZ105" s="10"/>
      <c r="BA105" s="10"/>
      <c r="BB105" s="10"/>
      <c r="BC105" s="10"/>
      <c r="BD105" s="10"/>
      <c r="BE105" s="10"/>
      <c r="BF105" s="10"/>
      <c r="BG105" s="10"/>
      <c r="BH105" s="10"/>
      <c r="BI105" s="10"/>
      <c r="BJ105" s="10"/>
      <c r="BK105" s="10"/>
      <c r="BL105" s="10"/>
      <c r="BM105" s="10"/>
      <c r="BN105" s="10"/>
      <c r="BO105" s="10"/>
      <c r="BP105" s="10"/>
      <c r="BQ105" s="10"/>
      <c r="BR105" s="10"/>
      <c r="BS105" s="10"/>
      <c r="BT105" s="10"/>
      <c r="BU105" s="10"/>
      <c r="BV105" s="10"/>
      <c r="BW105" s="10"/>
      <c r="BX105" s="15"/>
    </row>
    <row r="106" spans="1:76" x14ac:dyDescent="0.25">
      <c r="A106" s="16">
        <v>43</v>
      </c>
      <c r="B106" s="5" t="s">
        <v>300</v>
      </c>
      <c r="C106" s="21" t="s">
        <v>294</v>
      </c>
      <c r="D106" s="7">
        <v>1254</v>
      </c>
      <c r="E106" s="8">
        <v>44757</v>
      </c>
      <c r="F106" s="9">
        <v>46011</v>
      </c>
      <c r="G106" s="10">
        <v>15203482.789999999</v>
      </c>
      <c r="H106" s="11" t="s">
        <v>78</v>
      </c>
      <c r="I106" s="11" t="s">
        <v>301</v>
      </c>
      <c r="J106" s="19" t="s">
        <v>160</v>
      </c>
      <c r="K106" s="11" t="s">
        <v>161</v>
      </c>
      <c r="L106" s="11" t="s">
        <v>302</v>
      </c>
      <c r="M106" s="13">
        <v>1367123.81</v>
      </c>
      <c r="N106" s="10">
        <v>2301268.7200000002</v>
      </c>
      <c r="O106" s="14">
        <v>0.15136457559011715</v>
      </c>
      <c r="P106" s="10">
        <v>12902214.069999998</v>
      </c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  <c r="BS106" s="10"/>
      <c r="BT106" s="10"/>
      <c r="BU106" s="10"/>
      <c r="BV106" s="10"/>
      <c r="BW106" s="10"/>
      <c r="BX106" s="34"/>
    </row>
    <row r="107" spans="1:76" x14ac:dyDescent="0.25">
      <c r="A107" s="16">
        <v>44</v>
      </c>
      <c r="B107" s="5" t="s">
        <v>303</v>
      </c>
      <c r="C107" s="21" t="s">
        <v>294</v>
      </c>
      <c r="D107" s="7">
        <v>1538</v>
      </c>
      <c r="E107" s="8">
        <v>44537</v>
      </c>
      <c r="F107" s="9">
        <v>46075</v>
      </c>
      <c r="G107" s="10">
        <v>13554947.83</v>
      </c>
      <c r="H107" s="11" t="s">
        <v>78</v>
      </c>
      <c r="I107" s="11" t="s">
        <v>301</v>
      </c>
      <c r="J107" s="19" t="s">
        <v>160</v>
      </c>
      <c r="K107" s="11" t="s">
        <v>161</v>
      </c>
      <c r="L107" s="11" t="s">
        <v>302</v>
      </c>
      <c r="M107" s="13">
        <v>710964.03</v>
      </c>
      <c r="N107" s="10">
        <v>12888606.560000002</v>
      </c>
      <c r="O107" s="14">
        <v>0.95084147291771626</v>
      </c>
      <c r="P107" s="10">
        <v>666341.26999999769</v>
      </c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  <c r="AX107" s="10"/>
      <c r="AY107" s="10"/>
      <c r="AZ107" s="10"/>
      <c r="BA107" s="10"/>
      <c r="BB107" s="10"/>
      <c r="BC107" s="10"/>
      <c r="BD107" s="10"/>
      <c r="BE107" s="10"/>
      <c r="BF107" s="10"/>
      <c r="BG107" s="10"/>
      <c r="BH107" s="10"/>
      <c r="BI107" s="10"/>
      <c r="BJ107" s="10"/>
      <c r="BK107" s="10"/>
      <c r="BL107" s="10"/>
      <c r="BM107" s="10"/>
      <c r="BN107" s="10"/>
      <c r="BO107" s="10"/>
      <c r="BP107" s="10"/>
      <c r="BQ107" s="10"/>
      <c r="BR107" s="10"/>
      <c r="BS107" s="10"/>
      <c r="BT107" s="10"/>
      <c r="BU107" s="10"/>
      <c r="BV107" s="10"/>
      <c r="BW107" s="10"/>
      <c r="BX107" s="34"/>
    </row>
    <row r="108" spans="1:76" x14ac:dyDescent="0.25">
      <c r="A108" s="16"/>
      <c r="B108" s="5" t="s">
        <v>304</v>
      </c>
      <c r="C108" s="21" t="s">
        <v>294</v>
      </c>
      <c r="D108" s="7">
        <v>980</v>
      </c>
      <c r="E108" s="8">
        <v>44581</v>
      </c>
      <c r="F108" s="9">
        <v>45561</v>
      </c>
      <c r="G108" s="10">
        <v>13677862.32</v>
      </c>
      <c r="H108" s="11" t="s">
        <v>120</v>
      </c>
      <c r="I108" s="11" t="s">
        <v>79</v>
      </c>
      <c r="J108" s="19" t="s">
        <v>160</v>
      </c>
      <c r="K108" s="11" t="s">
        <v>161</v>
      </c>
      <c r="L108" s="11" t="s">
        <v>302</v>
      </c>
      <c r="M108" s="13">
        <v>0</v>
      </c>
      <c r="N108" s="10">
        <v>296101.87</v>
      </c>
      <c r="O108" s="14">
        <v>2.1648256362913881E-2</v>
      </c>
      <c r="P108" s="10">
        <v>13381760.450000001</v>
      </c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  <c r="BE108" s="10"/>
      <c r="BF108" s="10"/>
      <c r="BG108" s="10"/>
      <c r="BH108" s="10"/>
      <c r="BI108" s="10"/>
      <c r="BJ108" s="10"/>
      <c r="BK108" s="10"/>
      <c r="BL108" s="10"/>
      <c r="BM108" s="10"/>
      <c r="BN108" s="10"/>
      <c r="BO108" s="10"/>
      <c r="BP108" s="10"/>
      <c r="BQ108" s="10"/>
      <c r="BR108" s="10"/>
      <c r="BS108" s="10"/>
      <c r="BT108" s="10"/>
      <c r="BU108" s="10"/>
      <c r="BV108" s="10"/>
      <c r="BW108" s="10"/>
      <c r="BX108" s="15"/>
    </row>
    <row r="109" spans="1:76" x14ac:dyDescent="0.25">
      <c r="A109" s="16"/>
      <c r="B109" s="5" t="s">
        <v>305</v>
      </c>
      <c r="C109" s="21" t="s">
        <v>294</v>
      </c>
      <c r="D109" s="7">
        <v>603</v>
      </c>
      <c r="E109" s="8">
        <v>44872</v>
      </c>
      <c r="F109" s="9">
        <v>45475</v>
      </c>
      <c r="G109" s="10">
        <v>56185153.920000002</v>
      </c>
      <c r="H109" s="11" t="s">
        <v>98</v>
      </c>
      <c r="I109" s="11" t="s">
        <v>306</v>
      </c>
      <c r="J109" s="19" t="s">
        <v>160</v>
      </c>
      <c r="K109" s="11" t="s">
        <v>161</v>
      </c>
      <c r="L109" s="11" t="s">
        <v>307</v>
      </c>
      <c r="M109" s="13">
        <v>0</v>
      </c>
      <c r="N109" s="10">
        <v>54872063.399999991</v>
      </c>
      <c r="O109" s="14">
        <v>0.97662922625664295</v>
      </c>
      <c r="P109" s="10">
        <v>1313090.5200000107</v>
      </c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  <c r="BS109" s="10"/>
      <c r="BT109" s="10"/>
      <c r="BU109" s="10"/>
      <c r="BV109" s="10"/>
      <c r="BW109" s="10"/>
      <c r="BX109" s="15"/>
    </row>
    <row r="110" spans="1:76" x14ac:dyDescent="0.25">
      <c r="A110" s="16">
        <v>45</v>
      </c>
      <c r="B110" s="5" t="s">
        <v>308</v>
      </c>
      <c r="C110" s="21" t="s">
        <v>294</v>
      </c>
      <c r="D110" s="7">
        <v>467</v>
      </c>
      <c r="E110" s="8">
        <v>45555</v>
      </c>
      <c r="F110" s="9">
        <v>46022</v>
      </c>
      <c r="G110" s="10">
        <v>74609626.420000002</v>
      </c>
      <c r="H110" s="11" t="s">
        <v>78</v>
      </c>
      <c r="I110" s="11" t="s">
        <v>309</v>
      </c>
      <c r="J110" s="19" t="s">
        <v>160</v>
      </c>
      <c r="K110" s="11" t="s">
        <v>161</v>
      </c>
      <c r="L110" s="11" t="s">
        <v>310</v>
      </c>
      <c r="M110" s="13">
        <v>55173009.469999999</v>
      </c>
      <c r="N110" s="10">
        <v>61911151.039999999</v>
      </c>
      <c r="O110" s="14">
        <v>0.82980111294866332</v>
      </c>
      <c r="P110" s="10">
        <v>12698475.380000003</v>
      </c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10"/>
      <c r="AV110" s="10"/>
      <c r="AW110" s="10"/>
      <c r="AX110" s="10"/>
      <c r="AY110" s="10"/>
      <c r="AZ110" s="10"/>
      <c r="BA110" s="10"/>
      <c r="BB110" s="10"/>
      <c r="BC110" s="10"/>
      <c r="BD110" s="10"/>
      <c r="BE110" s="10"/>
      <c r="BF110" s="10"/>
      <c r="BG110" s="10"/>
      <c r="BH110" s="10"/>
      <c r="BI110" s="10"/>
      <c r="BJ110" s="10"/>
      <c r="BK110" s="10"/>
      <c r="BL110" s="10"/>
      <c r="BM110" s="10"/>
      <c r="BN110" s="10"/>
      <c r="BO110" s="10"/>
      <c r="BP110" s="10"/>
      <c r="BQ110" s="10"/>
      <c r="BR110" s="10"/>
      <c r="BS110" s="10"/>
      <c r="BT110" s="10"/>
      <c r="BU110" s="10"/>
      <c r="BV110" s="10"/>
      <c r="BW110" s="10"/>
      <c r="BX110" s="34"/>
    </row>
    <row r="111" spans="1:76" x14ac:dyDescent="0.25">
      <c r="A111" s="16">
        <v>46</v>
      </c>
      <c r="B111" s="5" t="s">
        <v>311</v>
      </c>
      <c r="C111" s="21" t="s">
        <v>294</v>
      </c>
      <c r="D111" s="7">
        <v>365</v>
      </c>
      <c r="E111" s="8">
        <v>45758</v>
      </c>
      <c r="F111" s="9">
        <v>46123</v>
      </c>
      <c r="G111" s="10">
        <v>12100122.6</v>
      </c>
      <c r="H111" s="11" t="s">
        <v>78</v>
      </c>
      <c r="I111" s="11" t="s">
        <v>309</v>
      </c>
      <c r="J111" s="19" t="s">
        <v>160</v>
      </c>
      <c r="K111" s="11" t="s">
        <v>161</v>
      </c>
      <c r="L111" s="11" t="s">
        <v>312</v>
      </c>
      <c r="M111" s="13">
        <v>10301084.52</v>
      </c>
      <c r="N111" s="10">
        <v>10301084.52</v>
      </c>
      <c r="O111" s="14">
        <v>0.85132067339549111</v>
      </c>
      <c r="P111" s="10">
        <v>1799038.08</v>
      </c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  <c r="BE111" s="10"/>
      <c r="BF111" s="10"/>
      <c r="BG111" s="10"/>
      <c r="BH111" s="10"/>
      <c r="BI111" s="10"/>
      <c r="BJ111" s="10"/>
      <c r="BK111" s="10"/>
      <c r="BL111" s="10"/>
      <c r="BM111" s="10"/>
      <c r="BN111" s="10"/>
      <c r="BO111" s="10"/>
      <c r="BP111" s="10"/>
      <c r="BQ111" s="10"/>
      <c r="BR111" s="10"/>
      <c r="BS111" s="10"/>
      <c r="BT111" s="10"/>
      <c r="BU111" s="10"/>
      <c r="BV111" s="10"/>
      <c r="BW111" s="10"/>
      <c r="BX111" s="34"/>
    </row>
    <row r="112" spans="1:76" x14ac:dyDescent="0.25">
      <c r="A112" s="16">
        <v>47</v>
      </c>
      <c r="B112" s="5" t="s">
        <v>313</v>
      </c>
      <c r="C112" s="21" t="s">
        <v>294</v>
      </c>
      <c r="D112" s="7">
        <v>480</v>
      </c>
      <c r="E112" s="8">
        <v>45723</v>
      </c>
      <c r="F112" s="9">
        <v>46203</v>
      </c>
      <c r="G112" s="10">
        <v>24187461.93</v>
      </c>
      <c r="H112" s="11" t="s">
        <v>78</v>
      </c>
      <c r="I112" s="11" t="s">
        <v>301</v>
      </c>
      <c r="J112" s="19" t="s">
        <v>160</v>
      </c>
      <c r="K112" s="11" t="s">
        <v>161</v>
      </c>
      <c r="L112" s="11" t="s">
        <v>314</v>
      </c>
      <c r="M112" s="13">
        <v>11147804.809999999</v>
      </c>
      <c r="N112" s="10">
        <v>11147804.809999999</v>
      </c>
      <c r="O112" s="14">
        <v>0.46089188035778333</v>
      </c>
      <c r="P112" s="10">
        <v>13039657.120000001</v>
      </c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  <c r="AX112" s="10"/>
      <c r="AY112" s="10"/>
      <c r="AZ112" s="10"/>
      <c r="BA112" s="10"/>
      <c r="BB112" s="10"/>
      <c r="BC112" s="10"/>
      <c r="BD112" s="10"/>
      <c r="BE112" s="10"/>
      <c r="BF112" s="10"/>
      <c r="BG112" s="10"/>
      <c r="BH112" s="10"/>
      <c r="BI112" s="10"/>
      <c r="BJ112" s="10"/>
      <c r="BK112" s="10"/>
      <c r="BL112" s="10"/>
      <c r="BM112" s="10"/>
      <c r="BN112" s="10"/>
      <c r="BO112" s="10"/>
      <c r="BP112" s="10"/>
      <c r="BQ112" s="10"/>
      <c r="BR112" s="10"/>
      <c r="BS112" s="10"/>
      <c r="BT112" s="10"/>
      <c r="BU112" s="10"/>
      <c r="BV112" s="10"/>
      <c r="BW112" s="10"/>
      <c r="BX112" s="34"/>
    </row>
    <row r="113" spans="1:76" x14ac:dyDescent="0.25">
      <c r="A113" s="16"/>
      <c r="B113" s="5" t="s">
        <v>315</v>
      </c>
      <c r="C113" s="21" t="s">
        <v>294</v>
      </c>
      <c r="D113" s="7">
        <v>219</v>
      </c>
      <c r="E113" s="8">
        <v>45034</v>
      </c>
      <c r="F113" s="9">
        <v>45253</v>
      </c>
      <c r="G113" s="10">
        <v>16880240</v>
      </c>
      <c r="H113" s="11" t="s">
        <v>98</v>
      </c>
      <c r="I113" s="11" t="s">
        <v>79</v>
      </c>
      <c r="J113" s="17" t="s">
        <v>85</v>
      </c>
      <c r="K113" s="11" t="s">
        <v>86</v>
      </c>
      <c r="L113" s="11" t="s">
        <v>316</v>
      </c>
      <c r="M113" s="13">
        <v>0</v>
      </c>
      <c r="N113" s="10">
        <v>13048536.540000001</v>
      </c>
      <c r="O113" s="14">
        <v>0.77300657692070729</v>
      </c>
      <c r="P113" s="10">
        <v>3831703.459999999</v>
      </c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  <c r="AW113" s="10"/>
      <c r="AX113" s="10"/>
      <c r="AY113" s="10"/>
      <c r="AZ113" s="10"/>
      <c r="BA113" s="10"/>
      <c r="BB113" s="10"/>
      <c r="BC113" s="10"/>
      <c r="BD113" s="10"/>
      <c r="BE113" s="10"/>
      <c r="BF113" s="10"/>
      <c r="BG113" s="10"/>
      <c r="BH113" s="10"/>
      <c r="BI113" s="10"/>
      <c r="BJ113" s="10"/>
      <c r="BK113" s="10"/>
      <c r="BL113" s="10"/>
      <c r="BM113" s="10"/>
      <c r="BN113" s="10"/>
      <c r="BO113" s="10"/>
      <c r="BP113" s="10"/>
      <c r="BQ113" s="10"/>
      <c r="BR113" s="10"/>
      <c r="BS113" s="10"/>
      <c r="BT113" s="10"/>
      <c r="BU113" s="10"/>
      <c r="BV113" s="10"/>
      <c r="BW113" s="10"/>
      <c r="BX113" s="15"/>
    </row>
    <row r="114" spans="1:76" x14ac:dyDescent="0.25">
      <c r="A114" s="16"/>
      <c r="B114" s="5" t="s">
        <v>317</v>
      </c>
      <c r="C114" s="21" t="s">
        <v>294</v>
      </c>
      <c r="D114" s="7">
        <v>765</v>
      </c>
      <c r="E114" s="8">
        <v>44804</v>
      </c>
      <c r="F114" s="9">
        <v>45569</v>
      </c>
      <c r="G114" s="10">
        <v>6519257.0499999998</v>
      </c>
      <c r="H114" s="11" t="s">
        <v>98</v>
      </c>
      <c r="I114" s="11" t="s">
        <v>79</v>
      </c>
      <c r="J114" s="18" t="s">
        <v>90</v>
      </c>
      <c r="K114" s="11" t="s">
        <v>96</v>
      </c>
      <c r="L114" s="11" t="s">
        <v>316</v>
      </c>
      <c r="M114" s="13">
        <v>0</v>
      </c>
      <c r="N114" s="10">
        <v>5728240.7200000007</v>
      </c>
      <c r="O114" s="14">
        <v>0.87866465090527468</v>
      </c>
      <c r="P114" s="10">
        <v>791016.32999999914</v>
      </c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  <c r="AW114" s="10"/>
      <c r="AX114" s="10"/>
      <c r="AY114" s="10"/>
      <c r="AZ114" s="10"/>
      <c r="BA114" s="10"/>
      <c r="BB114" s="10"/>
      <c r="BC114" s="10"/>
      <c r="BD114" s="10"/>
      <c r="BE114" s="10"/>
      <c r="BF114" s="10"/>
      <c r="BG114" s="10"/>
      <c r="BH114" s="10"/>
      <c r="BI114" s="10"/>
      <c r="BJ114" s="10"/>
      <c r="BK114" s="10"/>
      <c r="BL114" s="10"/>
      <c r="BM114" s="10"/>
      <c r="BN114" s="10"/>
      <c r="BO114" s="10"/>
      <c r="BP114" s="10"/>
      <c r="BQ114" s="10"/>
      <c r="BR114" s="10"/>
      <c r="BS114" s="10"/>
      <c r="BT114" s="10"/>
      <c r="BU114" s="10"/>
      <c r="BV114" s="10"/>
      <c r="BW114" s="10"/>
      <c r="BX114" s="15"/>
    </row>
    <row r="115" spans="1:76" x14ac:dyDescent="0.25">
      <c r="A115" s="16"/>
      <c r="B115" s="5" t="s">
        <v>318</v>
      </c>
      <c r="C115" s="21" t="s">
        <v>294</v>
      </c>
      <c r="D115" s="7">
        <v>540</v>
      </c>
      <c r="E115" s="8">
        <v>45189</v>
      </c>
      <c r="F115" s="9">
        <v>45729</v>
      </c>
      <c r="G115" s="10">
        <v>48302952.43</v>
      </c>
      <c r="H115" s="11" t="s">
        <v>98</v>
      </c>
      <c r="I115" s="11" t="s">
        <v>309</v>
      </c>
      <c r="J115" s="17" t="s">
        <v>85</v>
      </c>
      <c r="K115" s="11" t="s">
        <v>133</v>
      </c>
      <c r="L115" s="11" t="s">
        <v>319</v>
      </c>
      <c r="M115" s="13">
        <v>6549937.1500000004</v>
      </c>
      <c r="N115" s="10">
        <v>45858219.18</v>
      </c>
      <c r="O115" s="14">
        <v>0.94938749854798477</v>
      </c>
      <c r="P115" s="10">
        <v>2444733.25</v>
      </c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  <c r="AZ115" s="10"/>
      <c r="BA115" s="10"/>
      <c r="BB115" s="10"/>
      <c r="BC115" s="10"/>
      <c r="BD115" s="10"/>
      <c r="BE115" s="10"/>
      <c r="BF115" s="10"/>
      <c r="BG115" s="10"/>
      <c r="BH115" s="10"/>
      <c r="BI115" s="10"/>
      <c r="BJ115" s="10"/>
      <c r="BK115" s="10"/>
      <c r="BL115" s="10"/>
      <c r="BM115" s="10"/>
      <c r="BN115" s="10"/>
      <c r="BO115" s="10"/>
      <c r="BP115" s="10"/>
      <c r="BQ115" s="10"/>
      <c r="BR115" s="10"/>
      <c r="BS115" s="10"/>
      <c r="BT115" s="10"/>
      <c r="BU115" s="10"/>
      <c r="BV115" s="10"/>
      <c r="BW115" s="10"/>
      <c r="BX115" s="15"/>
    </row>
    <row r="116" spans="1:76" x14ac:dyDescent="0.25">
      <c r="A116" s="16">
        <v>48</v>
      </c>
      <c r="B116" s="5" t="s">
        <v>320</v>
      </c>
      <c r="C116" s="21" t="s">
        <v>294</v>
      </c>
      <c r="D116" s="7">
        <v>150</v>
      </c>
      <c r="E116" s="8">
        <v>45894</v>
      </c>
      <c r="F116" s="9">
        <v>46044</v>
      </c>
      <c r="G116" s="10">
        <v>12432476.25</v>
      </c>
      <c r="H116" s="11" t="s">
        <v>78</v>
      </c>
      <c r="I116" s="11" t="s">
        <v>309</v>
      </c>
      <c r="J116" s="19" t="s">
        <v>160</v>
      </c>
      <c r="K116" s="11" t="s">
        <v>161</v>
      </c>
      <c r="L116" s="11" t="s">
        <v>162</v>
      </c>
      <c r="M116" s="13">
        <v>10511270.470000001</v>
      </c>
      <c r="N116" s="10">
        <v>10511270.470000001</v>
      </c>
      <c r="O116" s="14">
        <v>0.84546877537771292</v>
      </c>
      <c r="P116" s="10">
        <v>1921205.7799999993</v>
      </c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  <c r="AW116" s="10"/>
      <c r="AX116" s="10"/>
      <c r="AY116" s="10"/>
      <c r="AZ116" s="10"/>
      <c r="BA116" s="10"/>
      <c r="BB116" s="10"/>
      <c r="BC116" s="10"/>
      <c r="BD116" s="10"/>
      <c r="BE116" s="10"/>
      <c r="BF116" s="10"/>
      <c r="BG116" s="10"/>
      <c r="BH116" s="10"/>
      <c r="BI116" s="10"/>
      <c r="BJ116" s="10"/>
      <c r="BK116" s="10"/>
      <c r="BL116" s="10"/>
      <c r="BM116" s="10"/>
      <c r="BN116" s="10"/>
      <c r="BO116" s="10"/>
      <c r="BP116" s="10"/>
      <c r="BQ116" s="10"/>
      <c r="BR116" s="10"/>
      <c r="BS116" s="10"/>
      <c r="BT116" s="10"/>
      <c r="BU116" s="10"/>
      <c r="BV116" s="10"/>
      <c r="BW116" s="10"/>
      <c r="BX116" s="34"/>
    </row>
    <row r="117" spans="1:76" x14ac:dyDescent="0.25">
      <c r="A117" s="16">
        <v>49</v>
      </c>
      <c r="B117" s="5" t="s">
        <v>321</v>
      </c>
      <c r="C117" s="21" t="s">
        <v>294</v>
      </c>
      <c r="D117" s="7">
        <v>1280</v>
      </c>
      <c r="E117" s="8">
        <v>44726</v>
      </c>
      <c r="F117" s="9">
        <v>46006</v>
      </c>
      <c r="G117" s="10">
        <v>59148617.810000002</v>
      </c>
      <c r="H117" s="11" t="s">
        <v>78</v>
      </c>
      <c r="I117" s="11" t="s">
        <v>309</v>
      </c>
      <c r="J117" s="17" t="s">
        <v>85</v>
      </c>
      <c r="K117" s="11" t="s">
        <v>260</v>
      </c>
      <c r="L117" s="11" t="s">
        <v>322</v>
      </c>
      <c r="M117" s="13">
        <v>9904470.2700000014</v>
      </c>
      <c r="N117" s="10">
        <v>56075179.539999992</v>
      </c>
      <c r="O117" s="14">
        <v>0.94803871360320446</v>
      </c>
      <c r="P117" s="10">
        <v>3073438.2700000107</v>
      </c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/>
      <c r="AU117" s="10"/>
      <c r="AV117" s="10"/>
      <c r="AW117" s="10"/>
      <c r="AX117" s="10"/>
      <c r="AY117" s="10"/>
      <c r="AZ117" s="10"/>
      <c r="BA117" s="10"/>
      <c r="BB117" s="10"/>
      <c r="BC117" s="10"/>
      <c r="BD117" s="10"/>
      <c r="BE117" s="10"/>
      <c r="BF117" s="10"/>
      <c r="BG117" s="10"/>
      <c r="BH117" s="10"/>
      <c r="BI117" s="10"/>
      <c r="BJ117" s="10"/>
      <c r="BK117" s="10"/>
      <c r="BL117" s="10"/>
      <c r="BM117" s="10"/>
      <c r="BN117" s="10"/>
      <c r="BO117" s="10"/>
      <c r="BP117" s="10"/>
      <c r="BQ117" s="10"/>
      <c r="BR117" s="10"/>
      <c r="BS117" s="10"/>
      <c r="BT117" s="10"/>
      <c r="BU117" s="10"/>
      <c r="BV117" s="10"/>
      <c r="BW117" s="10"/>
      <c r="BX117" s="34"/>
    </row>
    <row r="118" spans="1:76" x14ac:dyDescent="0.25">
      <c r="A118" s="16">
        <v>50</v>
      </c>
      <c r="B118" s="5" t="s">
        <v>323</v>
      </c>
      <c r="C118" s="21" t="s">
        <v>294</v>
      </c>
      <c r="D118" s="7">
        <v>210</v>
      </c>
      <c r="E118" s="8">
        <v>45897</v>
      </c>
      <c r="F118" s="9">
        <v>46107</v>
      </c>
      <c r="G118" s="10">
        <v>116500000</v>
      </c>
      <c r="H118" s="11" t="s">
        <v>78</v>
      </c>
      <c r="I118" s="11" t="s">
        <v>309</v>
      </c>
      <c r="J118" s="19" t="s">
        <v>160</v>
      </c>
      <c r="K118" s="11" t="s">
        <v>161</v>
      </c>
      <c r="L118" s="11" t="s">
        <v>322</v>
      </c>
      <c r="M118" s="13">
        <v>22022321.059999999</v>
      </c>
      <c r="N118" s="10">
        <v>22022321.059999999</v>
      </c>
      <c r="O118" s="14">
        <v>0.18903279879828325</v>
      </c>
      <c r="P118" s="10">
        <v>94477678.939999998</v>
      </c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10"/>
      <c r="AT118" s="10"/>
      <c r="AU118" s="10"/>
      <c r="AV118" s="10"/>
      <c r="AW118" s="10"/>
      <c r="AX118" s="10"/>
      <c r="AY118" s="10"/>
      <c r="AZ118" s="10"/>
      <c r="BA118" s="10"/>
      <c r="BB118" s="10"/>
      <c r="BC118" s="10"/>
      <c r="BD118" s="10"/>
      <c r="BE118" s="10"/>
      <c r="BF118" s="10"/>
      <c r="BG118" s="10"/>
      <c r="BH118" s="10"/>
      <c r="BI118" s="10"/>
      <c r="BJ118" s="10"/>
      <c r="BK118" s="10"/>
      <c r="BL118" s="10"/>
      <c r="BM118" s="10"/>
      <c r="BN118" s="10"/>
      <c r="BO118" s="10"/>
      <c r="BP118" s="10"/>
      <c r="BQ118" s="10"/>
      <c r="BR118" s="10"/>
      <c r="BS118" s="10"/>
      <c r="BT118" s="10"/>
      <c r="BU118" s="10"/>
      <c r="BV118" s="10"/>
      <c r="BW118" s="10"/>
      <c r="BX118" s="34"/>
    </row>
    <row r="119" spans="1:76" x14ac:dyDescent="0.25">
      <c r="A119" s="16"/>
      <c r="B119" s="5" t="s">
        <v>324</v>
      </c>
      <c r="C119" s="21" t="s">
        <v>294</v>
      </c>
      <c r="D119" s="7">
        <v>888</v>
      </c>
      <c r="E119" s="8">
        <v>44538</v>
      </c>
      <c r="F119" s="9">
        <v>45426</v>
      </c>
      <c r="G119" s="10">
        <v>24165422.120000001</v>
      </c>
      <c r="H119" s="11" t="s">
        <v>120</v>
      </c>
      <c r="I119" s="11" t="s">
        <v>309</v>
      </c>
      <c r="J119" s="19" t="s">
        <v>160</v>
      </c>
      <c r="K119" s="11" t="s">
        <v>161</v>
      </c>
      <c r="L119" s="11" t="s">
        <v>322</v>
      </c>
      <c r="M119" s="13">
        <v>0</v>
      </c>
      <c r="N119" s="10">
        <v>8398407.2300000004</v>
      </c>
      <c r="O119" s="14">
        <v>0.34753819686225285</v>
      </c>
      <c r="P119" s="10">
        <v>15767014.890000001</v>
      </c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10"/>
      <c r="AT119" s="10"/>
      <c r="AU119" s="10"/>
      <c r="AV119" s="10"/>
      <c r="AW119" s="10"/>
      <c r="AX119" s="10"/>
      <c r="AY119" s="10"/>
      <c r="AZ119" s="10"/>
      <c r="BA119" s="10"/>
      <c r="BB119" s="10"/>
      <c r="BC119" s="10"/>
      <c r="BD119" s="10"/>
      <c r="BE119" s="10"/>
      <c r="BF119" s="10"/>
      <c r="BG119" s="10"/>
      <c r="BH119" s="10"/>
      <c r="BI119" s="10"/>
      <c r="BJ119" s="10"/>
      <c r="BK119" s="10"/>
      <c r="BL119" s="10"/>
      <c r="BM119" s="10"/>
      <c r="BN119" s="10"/>
      <c r="BO119" s="10"/>
      <c r="BP119" s="10"/>
      <c r="BQ119" s="10"/>
      <c r="BR119" s="10"/>
      <c r="BS119" s="10"/>
      <c r="BT119" s="10"/>
      <c r="BU119" s="10"/>
      <c r="BV119" s="10"/>
      <c r="BW119" s="10"/>
      <c r="BX119" s="15"/>
    </row>
    <row r="120" spans="1:76" x14ac:dyDescent="0.25">
      <c r="A120" s="16"/>
      <c r="B120" s="5" t="s">
        <v>325</v>
      </c>
      <c r="C120" s="21" t="s">
        <v>294</v>
      </c>
      <c r="D120" s="7">
        <v>468</v>
      </c>
      <c r="E120" s="8">
        <v>44791</v>
      </c>
      <c r="F120" s="9">
        <v>45259</v>
      </c>
      <c r="G120" s="10">
        <v>3615856.15</v>
      </c>
      <c r="H120" s="11" t="s">
        <v>120</v>
      </c>
      <c r="I120" s="11" t="s">
        <v>309</v>
      </c>
      <c r="J120" s="19" t="s">
        <v>160</v>
      </c>
      <c r="K120" s="11" t="s">
        <v>161</v>
      </c>
      <c r="L120" s="11" t="s">
        <v>322</v>
      </c>
      <c r="M120" s="13">
        <v>0</v>
      </c>
      <c r="N120" s="10">
        <v>255684.46999999994</v>
      </c>
      <c r="O120" s="14">
        <v>7.0712013806190813E-2</v>
      </c>
      <c r="P120" s="10">
        <v>3360171.68</v>
      </c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10"/>
      <c r="AT120" s="10"/>
      <c r="AU120" s="10"/>
      <c r="AV120" s="10"/>
      <c r="AW120" s="10"/>
      <c r="AX120" s="10"/>
      <c r="AY120" s="10"/>
      <c r="AZ120" s="10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5"/>
    </row>
    <row r="121" spans="1:76" x14ac:dyDescent="0.25">
      <c r="A121" s="16">
        <v>51</v>
      </c>
      <c r="B121" s="5" t="s">
        <v>326</v>
      </c>
      <c r="C121" s="21" t="s">
        <v>294</v>
      </c>
      <c r="D121" s="7">
        <v>666</v>
      </c>
      <c r="E121" s="8">
        <v>45391</v>
      </c>
      <c r="F121" s="9">
        <v>46057</v>
      </c>
      <c r="G121" s="10">
        <v>41651255.979999997</v>
      </c>
      <c r="H121" s="11" t="s">
        <v>78</v>
      </c>
      <c r="I121" s="11" t="s">
        <v>301</v>
      </c>
      <c r="J121" s="18" t="s">
        <v>90</v>
      </c>
      <c r="K121" s="11" t="s">
        <v>91</v>
      </c>
      <c r="L121" s="11" t="s">
        <v>230</v>
      </c>
      <c r="M121" s="13">
        <v>12334165.090000002</v>
      </c>
      <c r="N121" s="10">
        <v>38738669.019999996</v>
      </c>
      <c r="O121" s="14">
        <v>0.93007204965443147</v>
      </c>
      <c r="P121" s="10">
        <v>2912586.9600000009</v>
      </c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10"/>
      <c r="AT121" s="10"/>
      <c r="AU121" s="10"/>
      <c r="AV121" s="10"/>
      <c r="AW121" s="10"/>
      <c r="AX121" s="10"/>
      <c r="AY121" s="10"/>
      <c r="AZ121" s="10"/>
      <c r="BA121" s="10"/>
      <c r="BB121" s="10"/>
      <c r="BC121" s="10"/>
      <c r="BD121" s="10"/>
      <c r="BE121" s="10"/>
      <c r="BF121" s="10"/>
      <c r="BG121" s="10"/>
      <c r="BH121" s="10"/>
      <c r="BI121" s="10"/>
      <c r="BJ121" s="10"/>
      <c r="BK121" s="10"/>
      <c r="BL121" s="10"/>
      <c r="BM121" s="10"/>
      <c r="BN121" s="10"/>
      <c r="BO121" s="10"/>
      <c r="BP121" s="10"/>
      <c r="BQ121" s="10"/>
      <c r="BR121" s="10"/>
      <c r="BS121" s="10"/>
      <c r="BT121" s="10"/>
      <c r="BU121" s="10"/>
      <c r="BV121" s="10"/>
      <c r="BW121" s="10"/>
      <c r="BX121" s="34"/>
    </row>
    <row r="122" spans="1:76" x14ac:dyDescent="0.25">
      <c r="A122" s="16"/>
      <c r="B122" s="5" t="s">
        <v>327</v>
      </c>
      <c r="C122" s="21" t="s">
        <v>294</v>
      </c>
      <c r="D122" s="7">
        <v>757</v>
      </c>
      <c r="E122" s="8">
        <v>44719</v>
      </c>
      <c r="F122" s="9">
        <v>45476</v>
      </c>
      <c r="G122" s="10">
        <v>14995089.279999999</v>
      </c>
      <c r="H122" s="11" t="s">
        <v>98</v>
      </c>
      <c r="I122" s="11" t="s">
        <v>99</v>
      </c>
      <c r="J122" s="18" t="s">
        <v>90</v>
      </c>
      <c r="K122" s="11" t="s">
        <v>103</v>
      </c>
      <c r="L122" s="11" t="s">
        <v>230</v>
      </c>
      <c r="M122" s="13">
        <v>0</v>
      </c>
      <c r="N122" s="10">
        <v>14985593.440000003</v>
      </c>
      <c r="O122" s="14">
        <v>0.99936673668141074</v>
      </c>
      <c r="P122" s="10">
        <v>9495.8399999961257</v>
      </c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10"/>
      <c r="AT122" s="10"/>
      <c r="AU122" s="10"/>
      <c r="AV122" s="10"/>
      <c r="AW122" s="10"/>
      <c r="AX122" s="10"/>
      <c r="AY122" s="10"/>
      <c r="AZ122" s="10"/>
      <c r="BA122" s="10"/>
      <c r="BB122" s="10"/>
      <c r="BC122" s="10"/>
      <c r="BD122" s="10"/>
      <c r="BE122" s="10"/>
      <c r="BF122" s="10"/>
      <c r="BG122" s="10"/>
      <c r="BH122" s="10"/>
      <c r="BI122" s="10"/>
      <c r="BJ122" s="10"/>
      <c r="BK122" s="10"/>
      <c r="BL122" s="10"/>
      <c r="BM122" s="10"/>
      <c r="BN122" s="10"/>
      <c r="BO122" s="10"/>
      <c r="BP122" s="10"/>
      <c r="BQ122" s="10"/>
      <c r="BR122" s="10"/>
      <c r="BS122" s="10"/>
      <c r="BT122" s="10"/>
      <c r="BU122" s="10"/>
      <c r="BV122" s="10"/>
      <c r="BW122" s="10"/>
      <c r="BX122" s="15"/>
    </row>
    <row r="123" spans="1:76" x14ac:dyDescent="0.25">
      <c r="A123" s="16"/>
      <c r="B123" s="5" t="s">
        <v>328</v>
      </c>
      <c r="C123" s="21" t="s">
        <v>294</v>
      </c>
      <c r="D123" s="7"/>
      <c r="E123" s="8">
        <v>45497</v>
      </c>
      <c r="F123" s="9">
        <v>45301</v>
      </c>
      <c r="G123" s="10">
        <v>15078640.210000001</v>
      </c>
      <c r="H123" s="11" t="s">
        <v>98</v>
      </c>
      <c r="I123" s="11" t="s">
        <v>79</v>
      </c>
      <c r="J123" s="17" t="s">
        <v>85</v>
      </c>
      <c r="K123" s="11" t="s">
        <v>260</v>
      </c>
      <c r="L123" s="11" t="s">
        <v>230</v>
      </c>
      <c r="M123" s="13">
        <v>0</v>
      </c>
      <c r="N123" s="10">
        <v>14660281.99</v>
      </c>
      <c r="O123" s="14">
        <v>0.97225491064356395</v>
      </c>
      <c r="P123" s="10">
        <v>418358.22000000067</v>
      </c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10"/>
      <c r="AT123" s="10"/>
      <c r="AU123" s="10"/>
      <c r="AV123" s="10"/>
      <c r="AW123" s="10"/>
      <c r="AX123" s="10"/>
      <c r="AY123" s="10"/>
      <c r="AZ123" s="10"/>
      <c r="BA123" s="10"/>
      <c r="BB123" s="10"/>
      <c r="BC123" s="10"/>
      <c r="BD123" s="10"/>
      <c r="BE123" s="10"/>
      <c r="BF123" s="10"/>
      <c r="BG123" s="10"/>
      <c r="BH123" s="10"/>
      <c r="BI123" s="10"/>
      <c r="BJ123" s="10"/>
      <c r="BK123" s="10"/>
      <c r="BL123" s="10"/>
      <c r="BM123" s="10"/>
      <c r="BN123" s="10"/>
      <c r="BO123" s="10"/>
      <c r="BP123" s="10"/>
      <c r="BQ123" s="10"/>
      <c r="BR123" s="10"/>
      <c r="BS123" s="10"/>
      <c r="BT123" s="10"/>
      <c r="BU123" s="10"/>
      <c r="BV123" s="10"/>
      <c r="BW123" s="10"/>
      <c r="BX123" s="15"/>
    </row>
    <row r="124" spans="1:76" x14ac:dyDescent="0.25">
      <c r="A124" s="16"/>
      <c r="B124" s="5" t="s">
        <v>329</v>
      </c>
      <c r="C124" s="21" t="s">
        <v>294</v>
      </c>
      <c r="D124" s="7">
        <v>1298</v>
      </c>
      <c r="E124" s="8">
        <v>44638</v>
      </c>
      <c r="F124" s="9">
        <v>45936</v>
      </c>
      <c r="G124" s="10">
        <v>24590858.27</v>
      </c>
      <c r="H124" s="11" t="s">
        <v>98</v>
      </c>
      <c r="I124" s="11" t="s">
        <v>309</v>
      </c>
      <c r="J124" s="19" t="s">
        <v>160</v>
      </c>
      <c r="K124" s="11" t="s">
        <v>161</v>
      </c>
      <c r="L124" s="11" t="s">
        <v>238</v>
      </c>
      <c r="M124" s="13">
        <v>1082086.6300000001</v>
      </c>
      <c r="N124" s="10">
        <v>21925638.520000003</v>
      </c>
      <c r="O124" s="14">
        <v>0.8916174571567731</v>
      </c>
      <c r="P124" s="10">
        <v>2665219.7499999963</v>
      </c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  <c r="AH124" s="10"/>
      <c r="AI124" s="10"/>
      <c r="AJ124" s="10"/>
      <c r="AK124" s="10"/>
      <c r="AL124" s="10"/>
      <c r="AM124" s="10"/>
      <c r="AN124" s="10"/>
      <c r="AO124" s="10"/>
      <c r="AP124" s="10"/>
      <c r="AQ124" s="10"/>
      <c r="AR124" s="10"/>
      <c r="AS124" s="10"/>
      <c r="AT124" s="10"/>
      <c r="AU124" s="10"/>
      <c r="AV124" s="10"/>
      <c r="AW124" s="10"/>
      <c r="AX124" s="10"/>
      <c r="AY124" s="10"/>
      <c r="AZ124" s="10"/>
      <c r="BA124" s="10"/>
      <c r="BB124" s="10"/>
      <c r="BC124" s="10"/>
      <c r="BD124" s="10"/>
      <c r="BE124" s="10"/>
      <c r="BF124" s="10"/>
      <c r="BG124" s="10"/>
      <c r="BH124" s="10"/>
      <c r="BI124" s="10"/>
      <c r="BJ124" s="10"/>
      <c r="BK124" s="10"/>
      <c r="BL124" s="10"/>
      <c r="BM124" s="10"/>
      <c r="BN124" s="10"/>
      <c r="BO124" s="10"/>
      <c r="BP124" s="10"/>
      <c r="BQ124" s="10"/>
      <c r="BR124" s="10"/>
      <c r="BS124" s="10"/>
      <c r="BT124" s="10"/>
      <c r="BU124" s="10"/>
      <c r="BV124" s="10"/>
      <c r="BW124" s="10"/>
      <c r="BX124" s="15"/>
    </row>
    <row r="125" spans="1:76" x14ac:dyDescent="0.25">
      <c r="A125" s="16"/>
      <c r="B125" s="5" t="s">
        <v>330</v>
      </c>
      <c r="C125" s="21" t="s">
        <v>294</v>
      </c>
      <c r="D125" s="7">
        <v>602</v>
      </c>
      <c r="E125" s="8">
        <v>44791</v>
      </c>
      <c r="F125" s="9">
        <v>45393</v>
      </c>
      <c r="G125" s="10">
        <v>16932981.449999999</v>
      </c>
      <c r="H125" s="11" t="s">
        <v>120</v>
      </c>
      <c r="I125" s="11" t="s">
        <v>306</v>
      </c>
      <c r="J125" s="19" t="s">
        <v>160</v>
      </c>
      <c r="K125" s="11" t="s">
        <v>161</v>
      </c>
      <c r="L125" s="11" t="s">
        <v>331</v>
      </c>
      <c r="M125" s="13">
        <v>0</v>
      </c>
      <c r="N125" s="10">
        <v>9082408.6699999962</v>
      </c>
      <c r="O125" s="14">
        <v>0.53637386285567545</v>
      </c>
      <c r="P125" s="10">
        <v>7850572.7800000031</v>
      </c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  <c r="AH125" s="10"/>
      <c r="AI125" s="10"/>
      <c r="AJ125" s="10"/>
      <c r="AK125" s="10"/>
      <c r="AL125" s="10"/>
      <c r="AM125" s="10"/>
      <c r="AN125" s="10"/>
      <c r="AO125" s="10"/>
      <c r="AP125" s="10"/>
      <c r="AQ125" s="10"/>
      <c r="AR125" s="10"/>
      <c r="AS125" s="10"/>
      <c r="AT125" s="10"/>
      <c r="AU125" s="10"/>
      <c r="AV125" s="10"/>
      <c r="AW125" s="10"/>
      <c r="AX125" s="10"/>
      <c r="AY125" s="10"/>
      <c r="AZ125" s="10"/>
      <c r="BA125" s="10"/>
      <c r="BB125" s="10"/>
      <c r="BC125" s="10"/>
      <c r="BD125" s="10"/>
      <c r="BE125" s="10"/>
      <c r="BF125" s="10"/>
      <c r="BG125" s="10"/>
      <c r="BH125" s="10"/>
      <c r="BI125" s="10"/>
      <c r="BJ125" s="10"/>
      <c r="BK125" s="10"/>
      <c r="BL125" s="10"/>
      <c r="BM125" s="10"/>
      <c r="BN125" s="10"/>
      <c r="BO125" s="10"/>
      <c r="BP125" s="10"/>
      <c r="BQ125" s="10"/>
      <c r="BR125" s="10"/>
      <c r="BS125" s="10"/>
      <c r="BT125" s="10"/>
      <c r="BU125" s="10"/>
      <c r="BV125" s="10"/>
      <c r="BW125" s="10"/>
      <c r="BX125" s="15"/>
    </row>
    <row r="126" spans="1:76" x14ac:dyDescent="0.25">
      <c r="A126" s="16"/>
      <c r="B126" s="5" t="s">
        <v>332</v>
      </c>
      <c r="C126" s="11" t="s">
        <v>333</v>
      </c>
      <c r="D126" s="7">
        <v>210</v>
      </c>
      <c r="E126" s="8">
        <v>44326</v>
      </c>
      <c r="F126" s="9">
        <v>44536</v>
      </c>
      <c r="G126" s="10">
        <v>1212482.21</v>
      </c>
      <c r="H126" s="11" t="s">
        <v>78</v>
      </c>
      <c r="I126" s="11"/>
      <c r="J126" s="12" t="s">
        <v>80</v>
      </c>
      <c r="K126" s="11" t="s">
        <v>182</v>
      </c>
      <c r="L126" s="11" t="s">
        <v>296</v>
      </c>
      <c r="M126" s="13">
        <v>0</v>
      </c>
      <c r="N126" s="10">
        <v>1088826.01</v>
      </c>
      <c r="O126" s="14">
        <v>0.89801400879935389</v>
      </c>
      <c r="P126" s="10">
        <v>123656.19999999995</v>
      </c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G126" s="10"/>
      <c r="AH126" s="10"/>
      <c r="AI126" s="10"/>
      <c r="AJ126" s="10"/>
      <c r="AK126" s="10"/>
      <c r="AL126" s="10"/>
      <c r="AM126" s="10"/>
      <c r="AN126" s="10"/>
      <c r="AO126" s="10"/>
      <c r="AP126" s="10"/>
      <c r="AQ126" s="10"/>
      <c r="AR126" s="10"/>
      <c r="AS126" s="10"/>
      <c r="AT126" s="10"/>
      <c r="AU126" s="10"/>
      <c r="AV126" s="10"/>
      <c r="AW126" s="10"/>
      <c r="AX126" s="10"/>
      <c r="AY126" s="10"/>
      <c r="AZ126" s="10"/>
      <c r="BA126" s="10"/>
      <c r="BB126" s="10"/>
      <c r="BC126" s="10"/>
      <c r="BD126" s="10"/>
      <c r="BE126" s="10"/>
      <c r="BF126" s="10"/>
      <c r="BG126" s="10"/>
      <c r="BH126" s="10"/>
      <c r="BI126" s="10"/>
      <c r="BJ126" s="10"/>
      <c r="BK126" s="10"/>
      <c r="BL126" s="10"/>
      <c r="BM126" s="10"/>
      <c r="BN126" s="10"/>
      <c r="BO126" s="10"/>
      <c r="BP126" s="10"/>
      <c r="BQ126" s="10"/>
      <c r="BR126" s="10"/>
      <c r="BS126" s="10"/>
      <c r="BT126" s="10"/>
      <c r="BU126" s="10"/>
      <c r="BV126" s="10"/>
      <c r="BW126" s="10"/>
      <c r="BX126" s="15"/>
    </row>
    <row r="127" spans="1:76" x14ac:dyDescent="0.25">
      <c r="A127" s="16"/>
      <c r="B127" s="5" t="s">
        <v>334</v>
      </c>
      <c r="C127" s="11" t="s">
        <v>333</v>
      </c>
      <c r="D127" s="7">
        <v>880</v>
      </c>
      <c r="E127" s="8">
        <v>44449</v>
      </c>
      <c r="F127" s="9">
        <v>45329</v>
      </c>
      <c r="G127" s="10">
        <v>84484346.709999993</v>
      </c>
      <c r="H127" s="11" t="s">
        <v>120</v>
      </c>
      <c r="I127" s="11"/>
      <c r="J127" s="18" t="s">
        <v>90</v>
      </c>
      <c r="K127" s="11" t="s">
        <v>91</v>
      </c>
      <c r="L127" s="11" t="s">
        <v>87</v>
      </c>
      <c r="M127" s="13">
        <v>0</v>
      </c>
      <c r="N127" s="10">
        <v>75957961.340000018</v>
      </c>
      <c r="O127" s="14">
        <v>0.89907733560078829</v>
      </c>
      <c r="P127" s="10">
        <v>8526385.369999975</v>
      </c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"/>
      <c r="AH127" s="10"/>
      <c r="AI127" s="10"/>
      <c r="AJ127" s="10"/>
      <c r="AK127" s="10"/>
      <c r="AL127" s="10"/>
      <c r="AM127" s="10"/>
      <c r="AN127" s="10"/>
      <c r="AO127" s="10"/>
      <c r="AP127" s="10"/>
      <c r="AQ127" s="10"/>
      <c r="AR127" s="10"/>
      <c r="AS127" s="10"/>
      <c r="AT127" s="10"/>
      <c r="AU127" s="10"/>
      <c r="AV127" s="10"/>
      <c r="AW127" s="10"/>
      <c r="AX127" s="10"/>
      <c r="AY127" s="10"/>
      <c r="AZ127" s="10"/>
      <c r="BA127" s="10"/>
      <c r="BB127" s="10"/>
      <c r="BC127" s="10"/>
      <c r="BD127" s="10"/>
      <c r="BE127" s="10"/>
      <c r="BF127" s="10"/>
      <c r="BG127" s="10"/>
      <c r="BH127" s="10"/>
      <c r="BI127" s="10"/>
      <c r="BJ127" s="10"/>
      <c r="BK127" s="10"/>
      <c r="BL127" s="10"/>
      <c r="BM127" s="10"/>
      <c r="BN127" s="10"/>
      <c r="BO127" s="10"/>
      <c r="BP127" s="10"/>
      <c r="BQ127" s="10"/>
      <c r="BR127" s="10"/>
      <c r="BS127" s="10"/>
      <c r="BT127" s="10"/>
      <c r="BU127" s="10"/>
      <c r="BV127" s="10"/>
      <c r="BW127" s="10"/>
      <c r="BX127" s="15"/>
    </row>
    <row r="128" spans="1:76" x14ac:dyDescent="0.25">
      <c r="A128" s="16"/>
      <c r="B128" s="5" t="s">
        <v>335</v>
      </c>
      <c r="C128" s="11" t="s">
        <v>333</v>
      </c>
      <c r="D128" s="7">
        <v>880</v>
      </c>
      <c r="E128" s="8">
        <v>44449</v>
      </c>
      <c r="F128" s="9">
        <v>45329</v>
      </c>
      <c r="G128" s="10">
        <v>69450000</v>
      </c>
      <c r="H128" s="11" t="s">
        <v>120</v>
      </c>
      <c r="I128" s="11"/>
      <c r="J128" s="18" t="s">
        <v>90</v>
      </c>
      <c r="K128" s="11" t="s">
        <v>91</v>
      </c>
      <c r="L128" s="11" t="s">
        <v>87</v>
      </c>
      <c r="M128" s="13">
        <v>0</v>
      </c>
      <c r="N128" s="10">
        <v>32682339.389999997</v>
      </c>
      <c r="O128" s="14">
        <v>0.4705880401727861</v>
      </c>
      <c r="P128" s="10">
        <v>36767660.609999999</v>
      </c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G128" s="10"/>
      <c r="AH128" s="10"/>
      <c r="AI128" s="10"/>
      <c r="AJ128" s="10"/>
      <c r="AK128" s="10"/>
      <c r="AL128" s="10"/>
      <c r="AM128" s="10"/>
      <c r="AN128" s="10"/>
      <c r="AO128" s="10"/>
      <c r="AP128" s="10"/>
      <c r="AQ128" s="10"/>
      <c r="AR128" s="10"/>
      <c r="AS128" s="10"/>
      <c r="AT128" s="10"/>
      <c r="AU128" s="10"/>
      <c r="AV128" s="10"/>
      <c r="AW128" s="10"/>
      <c r="AX128" s="10"/>
      <c r="AY128" s="10"/>
      <c r="AZ128" s="10"/>
      <c r="BA128" s="10"/>
      <c r="BB128" s="10"/>
      <c r="BC128" s="10"/>
      <c r="BD128" s="10"/>
      <c r="BE128" s="10"/>
      <c r="BF128" s="10"/>
      <c r="BG128" s="10"/>
      <c r="BH128" s="10"/>
      <c r="BI128" s="10"/>
      <c r="BJ128" s="10"/>
      <c r="BK128" s="10"/>
      <c r="BL128" s="10"/>
      <c r="BM128" s="10"/>
      <c r="BN128" s="10"/>
      <c r="BO128" s="10"/>
      <c r="BP128" s="10"/>
      <c r="BQ128" s="10"/>
      <c r="BR128" s="10"/>
      <c r="BS128" s="10"/>
      <c r="BT128" s="10"/>
      <c r="BU128" s="10"/>
      <c r="BV128" s="10"/>
      <c r="BW128" s="10"/>
      <c r="BX128" s="15"/>
    </row>
    <row r="129" spans="1:76" x14ac:dyDescent="0.25">
      <c r="A129" s="16"/>
      <c r="B129" s="5" t="s">
        <v>336</v>
      </c>
      <c r="C129" s="11" t="s">
        <v>333</v>
      </c>
      <c r="D129" s="7">
        <v>265</v>
      </c>
      <c r="E129" s="8">
        <v>44882</v>
      </c>
      <c r="F129" s="9">
        <v>45147</v>
      </c>
      <c r="G129" s="10">
        <v>6948720.1900000004</v>
      </c>
      <c r="H129" s="11" t="s">
        <v>98</v>
      </c>
      <c r="I129" s="11"/>
      <c r="J129" s="18" t="s">
        <v>90</v>
      </c>
      <c r="K129" s="11" t="s">
        <v>96</v>
      </c>
      <c r="L129" s="11" t="s">
        <v>299</v>
      </c>
      <c r="M129" s="13">
        <v>0</v>
      </c>
      <c r="N129" s="10">
        <v>6948720.1899999995</v>
      </c>
      <c r="O129" s="14">
        <v>0.99999999999999989</v>
      </c>
      <c r="P129" s="10">
        <v>9.3132257461547852E-10</v>
      </c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  <c r="AP129" s="10"/>
      <c r="AQ129" s="10"/>
      <c r="AR129" s="10"/>
      <c r="AS129" s="10"/>
      <c r="AT129" s="10"/>
      <c r="AU129" s="10"/>
      <c r="AV129" s="10"/>
      <c r="AW129" s="10"/>
      <c r="AX129" s="10"/>
      <c r="AY129" s="10"/>
      <c r="AZ129" s="10"/>
      <c r="BA129" s="10"/>
      <c r="BB129" s="10"/>
      <c r="BC129" s="10"/>
      <c r="BD129" s="10"/>
      <c r="BE129" s="10"/>
      <c r="BF129" s="10"/>
      <c r="BG129" s="10"/>
      <c r="BH129" s="10"/>
      <c r="BI129" s="10"/>
      <c r="BJ129" s="10"/>
      <c r="BK129" s="10"/>
      <c r="BL129" s="10"/>
      <c r="BM129" s="10"/>
      <c r="BN129" s="10"/>
      <c r="BO129" s="10"/>
      <c r="BP129" s="10"/>
      <c r="BQ129" s="10"/>
      <c r="BR129" s="10"/>
      <c r="BS129" s="10"/>
      <c r="BT129" s="10"/>
      <c r="BU129" s="10"/>
      <c r="BV129" s="10"/>
      <c r="BW129" s="10"/>
      <c r="BX129" s="15"/>
    </row>
    <row r="130" spans="1:76" x14ac:dyDescent="0.25">
      <c r="A130" s="16"/>
      <c r="B130" s="5" t="s">
        <v>337</v>
      </c>
      <c r="C130" s="11" t="s">
        <v>333</v>
      </c>
      <c r="D130" s="7">
        <v>468</v>
      </c>
      <c r="E130" s="8">
        <v>44734</v>
      </c>
      <c r="F130" s="9">
        <v>45202</v>
      </c>
      <c r="G130" s="10">
        <v>12092480.689999999</v>
      </c>
      <c r="H130" s="11" t="s">
        <v>98</v>
      </c>
      <c r="I130" s="11"/>
      <c r="J130" s="17" t="s">
        <v>85</v>
      </c>
      <c r="K130" s="11" t="s">
        <v>133</v>
      </c>
      <c r="L130" s="11" t="s">
        <v>299</v>
      </c>
      <c r="M130" s="13">
        <v>0</v>
      </c>
      <c r="N130" s="10">
        <v>12092480.689999999</v>
      </c>
      <c r="O130" s="14">
        <v>1</v>
      </c>
      <c r="P130" s="10">
        <v>0</v>
      </c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  <c r="AI130" s="10"/>
      <c r="AJ130" s="10"/>
      <c r="AK130" s="10"/>
      <c r="AL130" s="10"/>
      <c r="AM130" s="10"/>
      <c r="AN130" s="10"/>
      <c r="AO130" s="10"/>
      <c r="AP130" s="10"/>
      <c r="AQ130" s="10"/>
      <c r="AR130" s="10"/>
      <c r="AS130" s="10"/>
      <c r="AT130" s="10"/>
      <c r="AU130" s="10"/>
      <c r="AV130" s="10"/>
      <c r="AW130" s="10"/>
      <c r="AX130" s="10"/>
      <c r="AY130" s="10"/>
      <c r="AZ130" s="10"/>
      <c r="BA130" s="10"/>
      <c r="BB130" s="10"/>
      <c r="BC130" s="10"/>
      <c r="BD130" s="10"/>
      <c r="BE130" s="10"/>
      <c r="BF130" s="10"/>
      <c r="BG130" s="10"/>
      <c r="BH130" s="10"/>
      <c r="BI130" s="10"/>
      <c r="BJ130" s="10"/>
      <c r="BK130" s="10"/>
      <c r="BL130" s="10"/>
      <c r="BM130" s="10"/>
      <c r="BN130" s="10"/>
      <c r="BO130" s="10"/>
      <c r="BP130" s="10"/>
      <c r="BQ130" s="10"/>
      <c r="BR130" s="10"/>
      <c r="BS130" s="10"/>
      <c r="BT130" s="10"/>
      <c r="BU130" s="10"/>
      <c r="BV130" s="10"/>
      <c r="BW130" s="10"/>
      <c r="BX130" s="15"/>
    </row>
    <row r="131" spans="1:76" x14ac:dyDescent="0.25">
      <c r="A131" s="16"/>
      <c r="B131" s="5" t="s">
        <v>338</v>
      </c>
      <c r="C131" s="11" t="s">
        <v>333</v>
      </c>
      <c r="D131" s="7">
        <v>459</v>
      </c>
      <c r="E131" s="8">
        <v>44693</v>
      </c>
      <c r="F131" s="9">
        <v>45152</v>
      </c>
      <c r="G131" s="10">
        <v>6743574.04</v>
      </c>
      <c r="H131" s="11" t="s">
        <v>98</v>
      </c>
      <c r="I131" s="11"/>
      <c r="J131" s="19" t="s">
        <v>160</v>
      </c>
      <c r="K131" s="11" t="s">
        <v>161</v>
      </c>
      <c r="L131" s="11" t="s">
        <v>339</v>
      </c>
      <c r="M131" s="13">
        <v>0</v>
      </c>
      <c r="N131" s="10">
        <v>6743573.8500000006</v>
      </c>
      <c r="O131" s="14">
        <v>0.99999997182502953</v>
      </c>
      <c r="P131" s="10">
        <v>0.18999999947845936</v>
      </c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  <c r="AH131" s="10"/>
      <c r="AI131" s="10"/>
      <c r="AJ131" s="10"/>
      <c r="AK131" s="10"/>
      <c r="AL131" s="10"/>
      <c r="AM131" s="10"/>
      <c r="AN131" s="10"/>
      <c r="AO131" s="10"/>
      <c r="AP131" s="10"/>
      <c r="AQ131" s="10"/>
      <c r="AR131" s="10"/>
      <c r="AS131" s="10"/>
      <c r="AT131" s="10"/>
      <c r="AU131" s="10"/>
      <c r="AV131" s="10"/>
      <c r="AW131" s="10"/>
      <c r="AX131" s="10"/>
      <c r="AY131" s="10"/>
      <c r="AZ131" s="10"/>
      <c r="BA131" s="10"/>
      <c r="BB131" s="10"/>
      <c r="BC131" s="10"/>
      <c r="BD131" s="10"/>
      <c r="BE131" s="10"/>
      <c r="BF131" s="10"/>
      <c r="BG131" s="10"/>
      <c r="BH131" s="10"/>
      <c r="BI131" s="10"/>
      <c r="BJ131" s="10"/>
      <c r="BK131" s="10"/>
      <c r="BL131" s="10"/>
      <c r="BM131" s="10"/>
      <c r="BN131" s="10"/>
      <c r="BO131" s="10"/>
      <c r="BP131" s="10"/>
      <c r="BQ131" s="10"/>
      <c r="BR131" s="10"/>
      <c r="BS131" s="10"/>
      <c r="BT131" s="10"/>
      <c r="BU131" s="10"/>
      <c r="BV131" s="10"/>
      <c r="BW131" s="10"/>
      <c r="BX131" s="15"/>
    </row>
    <row r="132" spans="1:76" x14ac:dyDescent="0.25">
      <c r="A132" s="16"/>
      <c r="B132" s="5" t="s">
        <v>340</v>
      </c>
      <c r="C132" s="11" t="s">
        <v>333</v>
      </c>
      <c r="D132" s="7">
        <v>694</v>
      </c>
      <c r="E132" s="8">
        <v>44536</v>
      </c>
      <c r="F132" s="9">
        <v>45230</v>
      </c>
      <c r="G132" s="10">
        <v>1332580.8600000001</v>
      </c>
      <c r="H132" s="11" t="s">
        <v>98</v>
      </c>
      <c r="I132" s="11"/>
      <c r="J132" s="12" t="s">
        <v>80</v>
      </c>
      <c r="K132" s="11" t="s">
        <v>341</v>
      </c>
      <c r="L132" s="11" t="s">
        <v>342</v>
      </c>
      <c r="M132" s="13">
        <v>0</v>
      </c>
      <c r="N132" s="10">
        <v>1285178.3600000001</v>
      </c>
      <c r="O132" s="14">
        <v>0.96442804979204044</v>
      </c>
      <c r="P132" s="10">
        <v>47402.5</v>
      </c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G132" s="10"/>
      <c r="AH132" s="10"/>
      <c r="AI132" s="10"/>
      <c r="AJ132" s="10"/>
      <c r="AK132" s="10"/>
      <c r="AL132" s="10"/>
      <c r="AM132" s="10"/>
      <c r="AN132" s="10"/>
      <c r="AO132" s="10"/>
      <c r="AP132" s="10"/>
      <c r="AQ132" s="10"/>
      <c r="AR132" s="10"/>
      <c r="AS132" s="10"/>
      <c r="AT132" s="10"/>
      <c r="AU132" s="10"/>
      <c r="AV132" s="10"/>
      <c r="AW132" s="10"/>
      <c r="AX132" s="10"/>
      <c r="AY132" s="10"/>
      <c r="AZ132" s="10"/>
      <c r="BA132" s="10"/>
      <c r="BB132" s="10"/>
      <c r="BC132" s="10"/>
      <c r="BD132" s="10"/>
      <c r="BE132" s="10"/>
      <c r="BF132" s="10"/>
      <c r="BG132" s="10"/>
      <c r="BH132" s="10"/>
      <c r="BI132" s="10"/>
      <c r="BJ132" s="10"/>
      <c r="BK132" s="10"/>
      <c r="BL132" s="10"/>
      <c r="BM132" s="10"/>
      <c r="BN132" s="10"/>
      <c r="BO132" s="10"/>
      <c r="BP132" s="10"/>
      <c r="BQ132" s="10"/>
      <c r="BR132" s="10"/>
      <c r="BS132" s="10"/>
      <c r="BT132" s="10"/>
      <c r="BU132" s="10"/>
      <c r="BV132" s="10"/>
      <c r="BW132" s="10"/>
      <c r="BX132" s="15"/>
    </row>
    <row r="133" spans="1:76" x14ac:dyDescent="0.25">
      <c r="A133" s="16"/>
      <c r="B133" s="5" t="s">
        <v>343</v>
      </c>
      <c r="C133" s="11" t="s">
        <v>333</v>
      </c>
      <c r="D133" s="7"/>
      <c r="E133" s="8">
        <v>45061</v>
      </c>
      <c r="F133" s="9">
        <v>45016</v>
      </c>
      <c r="G133" s="10">
        <v>3607367.42</v>
      </c>
      <c r="H133" s="11" t="s">
        <v>98</v>
      </c>
      <c r="I133" s="11"/>
      <c r="J133" s="12" t="s">
        <v>80</v>
      </c>
      <c r="K133" s="11" t="s">
        <v>116</v>
      </c>
      <c r="L133" s="11" t="s">
        <v>114</v>
      </c>
      <c r="M133" s="13">
        <v>0</v>
      </c>
      <c r="N133" s="10">
        <v>3607318.6500000004</v>
      </c>
      <c r="O133" s="14">
        <v>0.999986480445621</v>
      </c>
      <c r="P133" s="10">
        <v>48.769999999552965</v>
      </c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G133" s="10"/>
      <c r="AH133" s="10"/>
      <c r="AI133" s="10"/>
      <c r="AJ133" s="10"/>
      <c r="AK133" s="10"/>
      <c r="AL133" s="10"/>
      <c r="AM133" s="10"/>
      <c r="AN133" s="10"/>
      <c r="AO133" s="10"/>
      <c r="AP133" s="10"/>
      <c r="AQ133" s="10"/>
      <c r="AR133" s="10"/>
      <c r="AS133" s="10"/>
      <c r="AT133" s="10"/>
      <c r="AU133" s="10"/>
      <c r="AV133" s="10"/>
      <c r="AW133" s="10"/>
      <c r="AX133" s="10"/>
      <c r="AY133" s="10"/>
      <c r="AZ133" s="10"/>
      <c r="BA133" s="10"/>
      <c r="BB133" s="10"/>
      <c r="BC133" s="10"/>
      <c r="BD133" s="10"/>
      <c r="BE133" s="10"/>
      <c r="BF133" s="10"/>
      <c r="BG133" s="10"/>
      <c r="BH133" s="10"/>
      <c r="BI133" s="10"/>
      <c r="BJ133" s="10"/>
      <c r="BK133" s="10"/>
      <c r="BL133" s="10"/>
      <c r="BM133" s="10"/>
      <c r="BN133" s="10"/>
      <c r="BO133" s="10"/>
      <c r="BP133" s="10"/>
      <c r="BQ133" s="10"/>
      <c r="BR133" s="10"/>
      <c r="BS133" s="10"/>
      <c r="BT133" s="10"/>
      <c r="BU133" s="10"/>
      <c r="BV133" s="10"/>
      <c r="BW133" s="10"/>
      <c r="BX133" s="15"/>
    </row>
    <row r="134" spans="1:76" x14ac:dyDescent="0.25">
      <c r="A134" s="16"/>
      <c r="B134" s="5" t="s">
        <v>344</v>
      </c>
      <c r="C134" s="11" t="s">
        <v>333</v>
      </c>
      <c r="D134" s="7">
        <v>957</v>
      </c>
      <c r="E134" s="8">
        <v>44610</v>
      </c>
      <c r="F134" s="9">
        <v>45567</v>
      </c>
      <c r="G134" s="10">
        <v>1305890.95</v>
      </c>
      <c r="H134" s="11" t="s">
        <v>120</v>
      </c>
      <c r="I134" s="11"/>
      <c r="J134" s="19" t="s">
        <v>160</v>
      </c>
      <c r="K134" s="11" t="s">
        <v>161</v>
      </c>
      <c r="L134" s="11" t="s">
        <v>345</v>
      </c>
      <c r="M134" s="13">
        <v>0</v>
      </c>
      <c r="N134" s="10">
        <v>0</v>
      </c>
      <c r="O134" s="14">
        <v>0</v>
      </c>
      <c r="P134" s="10">
        <v>1305890.95</v>
      </c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0"/>
      <c r="AP134" s="10"/>
      <c r="AQ134" s="10"/>
      <c r="AR134" s="10"/>
      <c r="AS134" s="10"/>
      <c r="AT134" s="10"/>
      <c r="AU134" s="10"/>
      <c r="AV134" s="10"/>
      <c r="AW134" s="10"/>
      <c r="AX134" s="10"/>
      <c r="AY134" s="10"/>
      <c r="AZ134" s="10"/>
      <c r="BA134" s="10"/>
      <c r="BB134" s="10"/>
      <c r="BC134" s="10"/>
      <c r="BD134" s="10"/>
      <c r="BE134" s="10"/>
      <c r="BF134" s="10"/>
      <c r="BG134" s="10"/>
      <c r="BH134" s="10"/>
      <c r="BI134" s="10"/>
      <c r="BJ134" s="10"/>
      <c r="BK134" s="10"/>
      <c r="BL134" s="10"/>
      <c r="BM134" s="10"/>
      <c r="BN134" s="10"/>
      <c r="BO134" s="10"/>
      <c r="BP134" s="10"/>
      <c r="BQ134" s="10"/>
      <c r="BR134" s="10"/>
      <c r="BS134" s="10"/>
      <c r="BT134" s="10"/>
      <c r="BU134" s="10"/>
      <c r="BV134" s="10"/>
      <c r="BW134" s="10"/>
      <c r="BX134" s="15"/>
    </row>
    <row r="135" spans="1:76" x14ac:dyDescent="0.25">
      <c r="A135" s="16"/>
      <c r="B135" s="5" t="s">
        <v>346</v>
      </c>
      <c r="C135" s="11" t="s">
        <v>333</v>
      </c>
      <c r="D135" s="7">
        <v>240</v>
      </c>
      <c r="E135" s="8">
        <v>46002</v>
      </c>
      <c r="F135" s="9">
        <v>46242</v>
      </c>
      <c r="G135" s="10">
        <v>27434724</v>
      </c>
      <c r="H135" s="11" t="s">
        <v>78</v>
      </c>
      <c r="I135" s="11"/>
      <c r="J135" s="17" t="s">
        <v>85</v>
      </c>
      <c r="K135" s="11" t="s">
        <v>133</v>
      </c>
      <c r="L135" s="11" t="s">
        <v>347</v>
      </c>
      <c r="M135" s="13">
        <v>13791452.859999999</v>
      </c>
      <c r="N135" s="10">
        <v>13791452.859999999</v>
      </c>
      <c r="O135" s="14">
        <v>0.50270062348722733</v>
      </c>
      <c r="P135" s="10">
        <v>13643271.140000001</v>
      </c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G135" s="10"/>
      <c r="AH135" s="10"/>
      <c r="AI135" s="10"/>
      <c r="AJ135" s="10"/>
      <c r="AK135" s="10"/>
      <c r="AL135" s="10"/>
      <c r="AM135" s="10"/>
      <c r="AN135" s="10"/>
      <c r="AO135" s="10"/>
      <c r="AP135" s="10"/>
      <c r="AQ135" s="10"/>
      <c r="AR135" s="10"/>
      <c r="AS135" s="10"/>
      <c r="AT135" s="10"/>
      <c r="AU135" s="10"/>
      <c r="AV135" s="10"/>
      <c r="AW135" s="10"/>
      <c r="AX135" s="10"/>
      <c r="AY135" s="10"/>
      <c r="AZ135" s="10"/>
      <c r="BA135" s="10"/>
      <c r="BB135" s="10"/>
      <c r="BC135" s="10"/>
      <c r="BD135" s="10"/>
      <c r="BE135" s="10"/>
      <c r="BF135" s="10"/>
      <c r="BG135" s="10"/>
      <c r="BH135" s="10"/>
      <c r="BI135" s="10"/>
      <c r="BJ135" s="10"/>
      <c r="BK135" s="10"/>
      <c r="BL135" s="10"/>
      <c r="BM135" s="10"/>
      <c r="BN135" s="10"/>
      <c r="BO135" s="10"/>
      <c r="BP135" s="10"/>
      <c r="BQ135" s="10"/>
      <c r="BR135" s="10"/>
      <c r="BS135" s="10"/>
      <c r="BT135" s="10"/>
      <c r="BU135" s="10"/>
      <c r="BV135" s="10"/>
      <c r="BW135" s="10"/>
      <c r="BX135" s="15"/>
    </row>
    <row r="136" spans="1:76" x14ac:dyDescent="0.25">
      <c r="A136" s="16"/>
      <c r="B136" s="5" t="s">
        <v>348</v>
      </c>
      <c r="C136" s="11" t="s">
        <v>333</v>
      </c>
      <c r="D136" s="7">
        <v>598</v>
      </c>
      <c r="E136" s="8">
        <v>44743</v>
      </c>
      <c r="F136" s="9">
        <v>45341</v>
      </c>
      <c r="G136" s="10">
        <v>4808707.09</v>
      </c>
      <c r="H136" s="11" t="s">
        <v>98</v>
      </c>
      <c r="I136" s="11"/>
      <c r="J136" s="17" t="s">
        <v>85</v>
      </c>
      <c r="K136" s="11" t="s">
        <v>202</v>
      </c>
      <c r="L136" s="11" t="s">
        <v>349</v>
      </c>
      <c r="M136" s="13">
        <v>0</v>
      </c>
      <c r="N136" s="10">
        <v>4808707.09</v>
      </c>
      <c r="O136" s="14">
        <v>1</v>
      </c>
      <c r="P136" s="10">
        <v>0</v>
      </c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G136" s="10"/>
      <c r="AH136" s="10"/>
      <c r="AI136" s="10"/>
      <c r="AJ136" s="10"/>
      <c r="AK136" s="10"/>
      <c r="AL136" s="10"/>
      <c r="AM136" s="10"/>
      <c r="AN136" s="10"/>
      <c r="AO136" s="10"/>
      <c r="AP136" s="10"/>
      <c r="AQ136" s="10"/>
      <c r="AR136" s="10"/>
      <c r="AS136" s="10"/>
      <c r="AT136" s="10"/>
      <c r="AU136" s="10"/>
      <c r="AV136" s="10"/>
      <c r="AW136" s="10"/>
      <c r="AX136" s="10"/>
      <c r="AY136" s="10"/>
      <c r="AZ136" s="10"/>
      <c r="BA136" s="10"/>
      <c r="BB136" s="10"/>
      <c r="BC136" s="10"/>
      <c r="BD136" s="10"/>
      <c r="BE136" s="10"/>
      <c r="BF136" s="10"/>
      <c r="BG136" s="10"/>
      <c r="BH136" s="10"/>
      <c r="BI136" s="10"/>
      <c r="BJ136" s="10"/>
      <c r="BK136" s="10"/>
      <c r="BL136" s="10"/>
      <c r="BM136" s="10"/>
      <c r="BN136" s="10"/>
      <c r="BO136" s="10"/>
      <c r="BP136" s="10"/>
      <c r="BQ136" s="10"/>
      <c r="BR136" s="10"/>
      <c r="BS136" s="10"/>
      <c r="BT136" s="10"/>
      <c r="BU136" s="10"/>
      <c r="BV136" s="10"/>
      <c r="BW136" s="10"/>
      <c r="BX136" s="15"/>
    </row>
    <row r="137" spans="1:76" x14ac:dyDescent="0.25">
      <c r="A137" s="16"/>
      <c r="B137" s="5" t="s">
        <v>350</v>
      </c>
      <c r="C137" s="11" t="s">
        <v>333</v>
      </c>
      <c r="D137" s="7">
        <v>406</v>
      </c>
      <c r="E137" s="8">
        <v>44767</v>
      </c>
      <c r="F137" s="9">
        <v>45173</v>
      </c>
      <c r="G137" s="10">
        <v>68148567.140000001</v>
      </c>
      <c r="H137" s="11" t="s">
        <v>98</v>
      </c>
      <c r="I137" s="11"/>
      <c r="J137" s="17" t="s">
        <v>85</v>
      </c>
      <c r="K137" s="11" t="s">
        <v>133</v>
      </c>
      <c r="L137" s="11" t="s">
        <v>351</v>
      </c>
      <c r="M137" s="13">
        <v>0</v>
      </c>
      <c r="N137" s="10">
        <v>30651574.560000002</v>
      </c>
      <c r="O137" s="14">
        <v>0.44977577440522543</v>
      </c>
      <c r="P137" s="10">
        <v>37496992.579999998</v>
      </c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  <c r="AH137" s="10"/>
      <c r="AI137" s="10"/>
      <c r="AJ137" s="10"/>
      <c r="AK137" s="10"/>
      <c r="AL137" s="10"/>
      <c r="AM137" s="10"/>
      <c r="AN137" s="10"/>
      <c r="AO137" s="10"/>
      <c r="AP137" s="10"/>
      <c r="AQ137" s="10"/>
      <c r="AR137" s="10"/>
      <c r="AS137" s="10"/>
      <c r="AT137" s="10"/>
      <c r="AU137" s="10"/>
      <c r="AV137" s="10"/>
      <c r="AW137" s="10"/>
      <c r="AX137" s="10"/>
      <c r="AY137" s="10"/>
      <c r="AZ137" s="10"/>
      <c r="BA137" s="10"/>
      <c r="BB137" s="10"/>
      <c r="BC137" s="10"/>
      <c r="BD137" s="10"/>
      <c r="BE137" s="10"/>
      <c r="BF137" s="10"/>
      <c r="BG137" s="10"/>
      <c r="BH137" s="10"/>
      <c r="BI137" s="10"/>
      <c r="BJ137" s="10"/>
      <c r="BK137" s="10"/>
      <c r="BL137" s="10"/>
      <c r="BM137" s="10"/>
      <c r="BN137" s="10"/>
      <c r="BO137" s="10"/>
      <c r="BP137" s="10"/>
      <c r="BQ137" s="10"/>
      <c r="BR137" s="10"/>
      <c r="BS137" s="10"/>
      <c r="BT137" s="10"/>
      <c r="BU137" s="10"/>
      <c r="BV137" s="10"/>
      <c r="BW137" s="10"/>
      <c r="BX137" s="15"/>
    </row>
    <row r="138" spans="1:76" x14ac:dyDescent="0.25">
      <c r="A138" s="16"/>
      <c r="B138" s="5" t="s">
        <v>352</v>
      </c>
      <c r="C138" s="11" t="s">
        <v>333</v>
      </c>
      <c r="D138" s="7">
        <v>180</v>
      </c>
      <c r="E138" s="8">
        <v>44753</v>
      </c>
      <c r="F138" s="9">
        <v>44933</v>
      </c>
      <c r="G138" s="10">
        <v>5978542.1500000004</v>
      </c>
      <c r="H138" s="11" t="s">
        <v>98</v>
      </c>
      <c r="I138" s="11"/>
      <c r="J138" s="17" t="s">
        <v>85</v>
      </c>
      <c r="K138" s="11" t="s">
        <v>133</v>
      </c>
      <c r="L138" s="11" t="s">
        <v>353</v>
      </c>
      <c r="M138" s="13">
        <v>0</v>
      </c>
      <c r="N138" s="10">
        <v>5450476.8399999989</v>
      </c>
      <c r="O138" s="14">
        <v>0.91167323124083</v>
      </c>
      <c r="P138" s="10">
        <v>528065.31000000145</v>
      </c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G138" s="10"/>
      <c r="AH138" s="10"/>
      <c r="AI138" s="10"/>
      <c r="AJ138" s="10"/>
      <c r="AK138" s="10"/>
      <c r="AL138" s="10"/>
      <c r="AM138" s="10"/>
      <c r="AN138" s="10"/>
      <c r="AO138" s="10"/>
      <c r="AP138" s="10"/>
      <c r="AQ138" s="10"/>
      <c r="AR138" s="10"/>
      <c r="AS138" s="10"/>
      <c r="AT138" s="10"/>
      <c r="AU138" s="10"/>
      <c r="AV138" s="10"/>
      <c r="AW138" s="10"/>
      <c r="AX138" s="10"/>
      <c r="AY138" s="10"/>
      <c r="AZ138" s="10"/>
      <c r="BA138" s="10"/>
      <c r="BB138" s="10"/>
      <c r="BC138" s="10"/>
      <c r="BD138" s="10"/>
      <c r="BE138" s="10"/>
      <c r="BF138" s="10"/>
      <c r="BG138" s="10"/>
      <c r="BH138" s="10"/>
      <c r="BI138" s="10"/>
      <c r="BJ138" s="10"/>
      <c r="BK138" s="10"/>
      <c r="BL138" s="10"/>
      <c r="BM138" s="10"/>
      <c r="BN138" s="10"/>
      <c r="BO138" s="10"/>
      <c r="BP138" s="10"/>
      <c r="BQ138" s="10"/>
      <c r="BR138" s="10"/>
      <c r="BS138" s="10"/>
      <c r="BT138" s="10"/>
      <c r="BU138" s="10"/>
      <c r="BV138" s="10"/>
      <c r="BW138" s="10"/>
      <c r="BX138" s="15"/>
    </row>
    <row r="139" spans="1:76" x14ac:dyDescent="0.25">
      <c r="A139" s="16"/>
      <c r="B139" s="5" t="s">
        <v>354</v>
      </c>
      <c r="C139" s="11" t="s">
        <v>333</v>
      </c>
      <c r="D139" s="7"/>
      <c r="E139" s="8"/>
      <c r="F139" s="9"/>
      <c r="G139" s="10">
        <v>11620104.779999999</v>
      </c>
      <c r="H139" s="11" t="s">
        <v>120</v>
      </c>
      <c r="I139" s="11"/>
      <c r="J139" s="19" t="s">
        <v>160</v>
      </c>
      <c r="K139" s="11" t="s">
        <v>355</v>
      </c>
      <c r="L139" s="11" t="s">
        <v>356</v>
      </c>
      <c r="M139" s="13">
        <v>0</v>
      </c>
      <c r="N139" s="10">
        <v>0</v>
      </c>
      <c r="O139" s="14">
        <v>0</v>
      </c>
      <c r="P139" s="10">
        <v>11620104.779999999</v>
      </c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  <c r="AH139" s="10"/>
      <c r="AI139" s="10"/>
      <c r="AJ139" s="10"/>
      <c r="AK139" s="10"/>
      <c r="AL139" s="10"/>
      <c r="AM139" s="10"/>
      <c r="AN139" s="10"/>
      <c r="AO139" s="10"/>
      <c r="AP139" s="10"/>
      <c r="AQ139" s="10"/>
      <c r="AR139" s="10"/>
      <c r="AS139" s="10"/>
      <c r="AT139" s="10"/>
      <c r="AU139" s="10"/>
      <c r="AV139" s="10"/>
      <c r="AW139" s="10"/>
      <c r="AX139" s="10"/>
      <c r="AY139" s="10"/>
      <c r="AZ139" s="10"/>
      <c r="BA139" s="10"/>
      <c r="BB139" s="10"/>
      <c r="BC139" s="10"/>
      <c r="BD139" s="10"/>
      <c r="BE139" s="10"/>
      <c r="BF139" s="10"/>
      <c r="BG139" s="10"/>
      <c r="BH139" s="10"/>
      <c r="BI139" s="10"/>
      <c r="BJ139" s="10"/>
      <c r="BK139" s="10"/>
      <c r="BL139" s="10"/>
      <c r="BM139" s="10"/>
      <c r="BN139" s="10"/>
      <c r="BO139" s="10"/>
      <c r="BP139" s="10"/>
      <c r="BQ139" s="10"/>
      <c r="BR139" s="10"/>
      <c r="BS139" s="10"/>
      <c r="BT139" s="10"/>
      <c r="BU139" s="10"/>
      <c r="BV139" s="10"/>
      <c r="BW139" s="10"/>
      <c r="BX139" s="15"/>
    </row>
    <row r="140" spans="1:76" x14ac:dyDescent="0.25">
      <c r="A140" s="16"/>
      <c r="B140" s="5" t="s">
        <v>357</v>
      </c>
      <c r="C140" s="11" t="s">
        <v>333</v>
      </c>
      <c r="D140" s="7"/>
      <c r="E140" s="8">
        <v>44823</v>
      </c>
      <c r="F140" s="9">
        <v>44706</v>
      </c>
      <c r="G140" s="10">
        <v>1712576.84</v>
      </c>
      <c r="H140" s="11" t="s">
        <v>120</v>
      </c>
      <c r="I140" s="11"/>
      <c r="J140" s="12" t="s">
        <v>80</v>
      </c>
      <c r="K140" s="11" t="s">
        <v>118</v>
      </c>
      <c r="L140" s="11" t="s">
        <v>153</v>
      </c>
      <c r="M140" s="13">
        <v>0</v>
      </c>
      <c r="N140" s="10">
        <v>0</v>
      </c>
      <c r="O140" s="14">
        <v>0</v>
      </c>
      <c r="P140" s="10">
        <v>1712576.84</v>
      </c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  <c r="AH140" s="10"/>
      <c r="AI140" s="10"/>
      <c r="AJ140" s="10"/>
      <c r="AK140" s="10"/>
      <c r="AL140" s="10"/>
      <c r="AM140" s="10"/>
      <c r="AN140" s="10"/>
      <c r="AO140" s="10"/>
      <c r="AP140" s="10"/>
      <c r="AQ140" s="10"/>
      <c r="AR140" s="10"/>
      <c r="AS140" s="10"/>
      <c r="AT140" s="10"/>
      <c r="AU140" s="10"/>
      <c r="AV140" s="10"/>
      <c r="AW140" s="10"/>
      <c r="AX140" s="10"/>
      <c r="AY140" s="10"/>
      <c r="AZ140" s="10"/>
      <c r="BA140" s="10"/>
      <c r="BB140" s="10"/>
      <c r="BC140" s="10"/>
      <c r="BD140" s="10"/>
      <c r="BE140" s="10"/>
      <c r="BF140" s="10"/>
      <c r="BG140" s="10"/>
      <c r="BH140" s="10"/>
      <c r="BI140" s="10"/>
      <c r="BJ140" s="10"/>
      <c r="BK140" s="10"/>
      <c r="BL140" s="10"/>
      <c r="BM140" s="10"/>
      <c r="BN140" s="10"/>
      <c r="BO140" s="10"/>
      <c r="BP140" s="10"/>
      <c r="BQ140" s="10"/>
      <c r="BR140" s="10"/>
      <c r="BS140" s="10"/>
      <c r="BT140" s="10"/>
      <c r="BU140" s="10"/>
      <c r="BV140" s="10"/>
      <c r="BW140" s="10"/>
      <c r="BX140" s="15"/>
    </row>
    <row r="141" spans="1:76" x14ac:dyDescent="0.25">
      <c r="A141" s="16"/>
      <c r="B141" s="5" t="s">
        <v>358</v>
      </c>
      <c r="C141" s="11" t="s">
        <v>333</v>
      </c>
      <c r="D141" s="7"/>
      <c r="E141" s="8"/>
      <c r="F141" s="9"/>
      <c r="G141" s="10">
        <v>18996888.260000002</v>
      </c>
      <c r="H141" s="11" t="s">
        <v>120</v>
      </c>
      <c r="I141" s="11"/>
      <c r="J141" s="18" t="s">
        <v>90</v>
      </c>
      <c r="K141" s="11" t="s">
        <v>96</v>
      </c>
      <c r="L141" s="11" t="s">
        <v>277</v>
      </c>
      <c r="M141" s="13">
        <v>0</v>
      </c>
      <c r="N141" s="10">
        <v>9021796.75</v>
      </c>
      <c r="O141" s="14">
        <v>0.47490918652168773</v>
      </c>
      <c r="P141" s="10">
        <v>9975091.5100000016</v>
      </c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  <c r="AH141" s="10"/>
      <c r="AI141" s="10"/>
      <c r="AJ141" s="10"/>
      <c r="AK141" s="10"/>
      <c r="AL141" s="10"/>
      <c r="AM141" s="10"/>
      <c r="AN141" s="10"/>
      <c r="AO141" s="10"/>
      <c r="AP141" s="10"/>
      <c r="AQ141" s="10"/>
      <c r="AR141" s="10"/>
      <c r="AS141" s="10"/>
      <c r="AT141" s="10"/>
      <c r="AU141" s="10"/>
      <c r="AV141" s="10"/>
      <c r="AW141" s="10"/>
      <c r="AX141" s="10"/>
      <c r="AY141" s="10"/>
      <c r="AZ141" s="10"/>
      <c r="BA141" s="10"/>
      <c r="BB141" s="10"/>
      <c r="BC141" s="10"/>
      <c r="BD141" s="10"/>
      <c r="BE141" s="10"/>
      <c r="BF141" s="10"/>
      <c r="BG141" s="10"/>
      <c r="BH141" s="10"/>
      <c r="BI141" s="10"/>
      <c r="BJ141" s="10"/>
      <c r="BK141" s="10"/>
      <c r="BL141" s="10"/>
      <c r="BM141" s="10"/>
      <c r="BN141" s="10"/>
      <c r="BO141" s="10"/>
      <c r="BP141" s="10"/>
      <c r="BQ141" s="10"/>
      <c r="BR141" s="10"/>
      <c r="BS141" s="10"/>
      <c r="BT141" s="10"/>
      <c r="BU141" s="10"/>
      <c r="BV141" s="10"/>
      <c r="BW141" s="10"/>
      <c r="BX141" s="15"/>
    </row>
    <row r="142" spans="1:76" x14ac:dyDescent="0.25">
      <c r="A142" s="16"/>
      <c r="B142" s="5" t="s">
        <v>359</v>
      </c>
      <c r="C142" s="11" t="s">
        <v>333</v>
      </c>
      <c r="D142" s="7">
        <v>364</v>
      </c>
      <c r="E142" s="8">
        <v>44734</v>
      </c>
      <c r="F142" s="9">
        <v>45098</v>
      </c>
      <c r="G142" s="10">
        <v>11942741.09</v>
      </c>
      <c r="H142" s="11" t="s">
        <v>98</v>
      </c>
      <c r="I142" s="11"/>
      <c r="J142" s="17" t="s">
        <v>85</v>
      </c>
      <c r="K142" s="11" t="s">
        <v>133</v>
      </c>
      <c r="L142" s="11" t="s">
        <v>319</v>
      </c>
      <c r="M142" s="13">
        <v>0</v>
      </c>
      <c r="N142" s="10">
        <v>9986334.5500000007</v>
      </c>
      <c r="O142" s="14">
        <v>0.83618446341115482</v>
      </c>
      <c r="P142" s="10">
        <v>1956406.5399999991</v>
      </c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  <c r="AG142" s="10"/>
      <c r="AH142" s="10"/>
      <c r="AI142" s="10"/>
      <c r="AJ142" s="10"/>
      <c r="AK142" s="10"/>
      <c r="AL142" s="10"/>
      <c r="AM142" s="10"/>
      <c r="AN142" s="10"/>
      <c r="AO142" s="10"/>
      <c r="AP142" s="10"/>
      <c r="AQ142" s="10"/>
      <c r="AR142" s="10"/>
      <c r="AS142" s="10"/>
      <c r="AT142" s="10"/>
      <c r="AU142" s="10"/>
      <c r="AV142" s="10"/>
      <c r="AW142" s="10"/>
      <c r="AX142" s="10"/>
      <c r="AY142" s="10"/>
      <c r="AZ142" s="10"/>
      <c r="BA142" s="10"/>
      <c r="BB142" s="10"/>
      <c r="BC142" s="10"/>
      <c r="BD142" s="10"/>
      <c r="BE142" s="10"/>
      <c r="BF142" s="10"/>
      <c r="BG142" s="10"/>
      <c r="BH142" s="10"/>
      <c r="BI142" s="10"/>
      <c r="BJ142" s="10"/>
      <c r="BK142" s="10"/>
      <c r="BL142" s="10"/>
      <c r="BM142" s="10"/>
      <c r="BN142" s="10"/>
      <c r="BO142" s="10"/>
      <c r="BP142" s="10"/>
      <c r="BQ142" s="10"/>
      <c r="BR142" s="10"/>
      <c r="BS142" s="10"/>
      <c r="BT142" s="10"/>
      <c r="BU142" s="10"/>
      <c r="BV142" s="10"/>
      <c r="BW142" s="10"/>
      <c r="BX142" s="15"/>
    </row>
    <row r="143" spans="1:76" x14ac:dyDescent="0.25">
      <c r="A143" s="16"/>
      <c r="B143" s="5" t="s">
        <v>360</v>
      </c>
      <c r="C143" s="11" t="s">
        <v>333</v>
      </c>
      <c r="D143" s="7">
        <v>405</v>
      </c>
      <c r="E143" s="8">
        <v>44769</v>
      </c>
      <c r="F143" s="9">
        <v>45174</v>
      </c>
      <c r="G143" s="10">
        <v>54913544.950000003</v>
      </c>
      <c r="H143" s="11" t="s">
        <v>98</v>
      </c>
      <c r="I143" s="11"/>
      <c r="J143" s="17" t="s">
        <v>85</v>
      </c>
      <c r="K143" s="11" t="s">
        <v>133</v>
      </c>
      <c r="L143" s="11" t="s">
        <v>158</v>
      </c>
      <c r="M143" s="13">
        <v>0</v>
      </c>
      <c r="N143" s="10">
        <v>50454918.609999999</v>
      </c>
      <c r="O143" s="14">
        <v>0.91880643757273939</v>
      </c>
      <c r="P143" s="10">
        <v>4458626.3400000036</v>
      </c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  <c r="AH143" s="10"/>
      <c r="AI143" s="10"/>
      <c r="AJ143" s="10"/>
      <c r="AK143" s="10"/>
      <c r="AL143" s="10"/>
      <c r="AM143" s="10"/>
      <c r="AN143" s="10"/>
      <c r="AO143" s="10"/>
      <c r="AP143" s="10"/>
      <c r="AQ143" s="10"/>
      <c r="AR143" s="10"/>
      <c r="AS143" s="10"/>
      <c r="AT143" s="10"/>
      <c r="AU143" s="10"/>
      <c r="AV143" s="10"/>
      <c r="AW143" s="10"/>
      <c r="AX143" s="10"/>
      <c r="AY143" s="10"/>
      <c r="AZ143" s="10"/>
      <c r="BA143" s="10"/>
      <c r="BB143" s="10"/>
      <c r="BC143" s="10"/>
      <c r="BD143" s="10"/>
      <c r="BE143" s="10"/>
      <c r="BF143" s="10"/>
      <c r="BG143" s="10"/>
      <c r="BH143" s="10"/>
      <c r="BI143" s="10"/>
      <c r="BJ143" s="10"/>
      <c r="BK143" s="10"/>
      <c r="BL143" s="10"/>
      <c r="BM143" s="10"/>
      <c r="BN143" s="10"/>
      <c r="BO143" s="10"/>
      <c r="BP143" s="10"/>
      <c r="BQ143" s="10"/>
      <c r="BR143" s="10"/>
      <c r="BS143" s="10"/>
      <c r="BT143" s="10"/>
      <c r="BU143" s="10"/>
      <c r="BV143" s="10"/>
      <c r="BW143" s="10"/>
      <c r="BX143" s="15"/>
    </row>
    <row r="144" spans="1:76" x14ac:dyDescent="0.25">
      <c r="A144" s="16"/>
      <c r="B144" s="5" t="s">
        <v>361</v>
      </c>
      <c r="C144" s="11" t="s">
        <v>333</v>
      </c>
      <c r="D144" s="7"/>
      <c r="E144" s="8"/>
      <c r="F144" s="9">
        <v>46312</v>
      </c>
      <c r="G144" s="10">
        <v>5054505.24</v>
      </c>
      <c r="H144" s="11" t="s">
        <v>78</v>
      </c>
      <c r="I144" s="11"/>
      <c r="J144" s="17" t="s">
        <v>85</v>
      </c>
      <c r="K144" s="11" t="s">
        <v>86</v>
      </c>
      <c r="L144" s="11" t="s">
        <v>162</v>
      </c>
      <c r="M144" s="13">
        <v>0</v>
      </c>
      <c r="N144" s="10">
        <v>0</v>
      </c>
      <c r="O144" s="14">
        <v>0</v>
      </c>
      <c r="P144" s="10">
        <v>5054505.24</v>
      </c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0"/>
      <c r="AI144" s="10"/>
      <c r="AJ144" s="10"/>
      <c r="AK144" s="10"/>
      <c r="AL144" s="10"/>
      <c r="AM144" s="10"/>
      <c r="AN144" s="10"/>
      <c r="AO144" s="10"/>
      <c r="AP144" s="10"/>
      <c r="AQ144" s="10"/>
      <c r="AR144" s="10"/>
      <c r="AS144" s="10"/>
      <c r="AT144" s="10"/>
      <c r="AU144" s="10"/>
      <c r="AV144" s="10"/>
      <c r="AW144" s="10"/>
      <c r="AX144" s="10"/>
      <c r="AY144" s="10"/>
      <c r="AZ144" s="10"/>
      <c r="BA144" s="10"/>
      <c r="BB144" s="10"/>
      <c r="BC144" s="10"/>
      <c r="BD144" s="10"/>
      <c r="BE144" s="10"/>
      <c r="BF144" s="10"/>
      <c r="BG144" s="10"/>
      <c r="BH144" s="10"/>
      <c r="BI144" s="10"/>
      <c r="BJ144" s="10"/>
      <c r="BK144" s="10"/>
      <c r="BL144" s="10"/>
      <c r="BM144" s="10"/>
      <c r="BN144" s="10"/>
      <c r="BO144" s="10"/>
      <c r="BP144" s="10"/>
      <c r="BQ144" s="10"/>
      <c r="BR144" s="10"/>
      <c r="BS144" s="10"/>
      <c r="BT144" s="10"/>
      <c r="BU144" s="10"/>
      <c r="BV144" s="10"/>
      <c r="BW144" s="10"/>
      <c r="BX144" s="15"/>
    </row>
    <row r="145" spans="1:76" x14ac:dyDescent="0.25">
      <c r="A145" s="16"/>
      <c r="B145" s="5" t="s">
        <v>362</v>
      </c>
      <c r="C145" s="11" t="s">
        <v>333</v>
      </c>
      <c r="D145" s="7">
        <v>763</v>
      </c>
      <c r="E145" s="8">
        <v>44693</v>
      </c>
      <c r="F145" s="9">
        <v>45456</v>
      </c>
      <c r="G145" s="10">
        <v>2389346</v>
      </c>
      <c r="H145" s="11" t="s">
        <v>98</v>
      </c>
      <c r="I145" s="11"/>
      <c r="J145" s="19" t="s">
        <v>160</v>
      </c>
      <c r="K145" s="11" t="s">
        <v>161</v>
      </c>
      <c r="L145" s="11" t="s">
        <v>162</v>
      </c>
      <c r="M145" s="13">
        <v>0</v>
      </c>
      <c r="N145" s="10">
        <v>2389346</v>
      </c>
      <c r="O145" s="14">
        <v>1</v>
      </c>
      <c r="P145" s="10">
        <v>0</v>
      </c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  <c r="AM145" s="10"/>
      <c r="AN145" s="10"/>
      <c r="AO145" s="10"/>
      <c r="AP145" s="10"/>
      <c r="AQ145" s="10"/>
      <c r="AR145" s="10"/>
      <c r="AS145" s="10"/>
      <c r="AT145" s="10"/>
      <c r="AU145" s="10"/>
      <c r="AV145" s="10"/>
      <c r="AW145" s="10"/>
      <c r="AX145" s="10"/>
      <c r="AY145" s="10"/>
      <c r="AZ145" s="10"/>
      <c r="BA145" s="10"/>
      <c r="BB145" s="10"/>
      <c r="BC145" s="10"/>
      <c r="BD145" s="10"/>
      <c r="BE145" s="10"/>
      <c r="BF145" s="10"/>
      <c r="BG145" s="10"/>
      <c r="BH145" s="10"/>
      <c r="BI145" s="10"/>
      <c r="BJ145" s="10"/>
      <c r="BK145" s="10"/>
      <c r="BL145" s="10"/>
      <c r="BM145" s="10"/>
      <c r="BN145" s="10"/>
      <c r="BO145" s="10"/>
      <c r="BP145" s="10"/>
      <c r="BQ145" s="10"/>
      <c r="BR145" s="10"/>
      <c r="BS145" s="10"/>
      <c r="BT145" s="10"/>
      <c r="BU145" s="10"/>
      <c r="BV145" s="10"/>
      <c r="BW145" s="10"/>
      <c r="BX145" s="15"/>
    </row>
    <row r="146" spans="1:76" x14ac:dyDescent="0.25">
      <c r="A146" s="16"/>
      <c r="B146" s="5" t="s">
        <v>363</v>
      </c>
      <c r="C146" s="11" t="s">
        <v>333</v>
      </c>
      <c r="D146" s="7">
        <v>405</v>
      </c>
      <c r="E146" s="8">
        <v>44709</v>
      </c>
      <c r="F146" s="9">
        <v>45114</v>
      </c>
      <c r="G146" s="10">
        <v>80552394.920000002</v>
      </c>
      <c r="H146" s="11" t="s">
        <v>98</v>
      </c>
      <c r="I146" s="11"/>
      <c r="J146" s="17" t="s">
        <v>85</v>
      </c>
      <c r="K146" s="11" t="s">
        <v>133</v>
      </c>
      <c r="L146" s="11" t="s">
        <v>364</v>
      </c>
      <c r="M146" s="13">
        <v>0</v>
      </c>
      <c r="N146" s="10">
        <v>74305044.279999986</v>
      </c>
      <c r="O146" s="14">
        <v>0.92244363874960489</v>
      </c>
      <c r="P146" s="10">
        <v>6247350.6400000155</v>
      </c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  <c r="AG146" s="10"/>
      <c r="AH146" s="10"/>
      <c r="AI146" s="10"/>
      <c r="AJ146" s="10"/>
      <c r="AK146" s="10"/>
      <c r="AL146" s="10"/>
      <c r="AM146" s="10"/>
      <c r="AN146" s="10"/>
      <c r="AO146" s="10"/>
      <c r="AP146" s="10"/>
      <c r="AQ146" s="10"/>
      <c r="AR146" s="10"/>
      <c r="AS146" s="10"/>
      <c r="AT146" s="10"/>
      <c r="AU146" s="10"/>
      <c r="AV146" s="10"/>
      <c r="AW146" s="10"/>
      <c r="AX146" s="10"/>
      <c r="AY146" s="10"/>
      <c r="AZ146" s="10"/>
      <c r="BA146" s="10"/>
      <c r="BB146" s="10"/>
      <c r="BC146" s="10"/>
      <c r="BD146" s="10"/>
      <c r="BE146" s="10"/>
      <c r="BF146" s="10"/>
      <c r="BG146" s="10"/>
      <c r="BH146" s="10"/>
      <c r="BI146" s="10"/>
      <c r="BJ146" s="10"/>
      <c r="BK146" s="10"/>
      <c r="BL146" s="10"/>
      <c r="BM146" s="10"/>
      <c r="BN146" s="10"/>
      <c r="BO146" s="10"/>
      <c r="BP146" s="10"/>
      <c r="BQ146" s="10"/>
      <c r="BR146" s="10"/>
      <c r="BS146" s="10"/>
      <c r="BT146" s="10"/>
      <c r="BU146" s="10"/>
      <c r="BV146" s="10"/>
      <c r="BW146" s="10"/>
      <c r="BX146" s="15"/>
    </row>
    <row r="147" spans="1:76" x14ac:dyDescent="0.25">
      <c r="A147" s="16"/>
      <c r="B147" s="5" t="s">
        <v>365</v>
      </c>
      <c r="C147" s="11" t="s">
        <v>333</v>
      </c>
      <c r="D147" s="7">
        <v>441</v>
      </c>
      <c r="E147" s="8">
        <v>44760</v>
      </c>
      <c r="F147" s="9">
        <v>45201</v>
      </c>
      <c r="G147" s="10">
        <v>6453162.7199999997</v>
      </c>
      <c r="H147" s="11" t="s">
        <v>98</v>
      </c>
      <c r="I147" s="11"/>
      <c r="J147" s="18" t="s">
        <v>90</v>
      </c>
      <c r="K147" s="11" t="s">
        <v>107</v>
      </c>
      <c r="L147" s="11" t="s">
        <v>366</v>
      </c>
      <c r="M147" s="13">
        <v>0</v>
      </c>
      <c r="N147" s="10">
        <v>6453162.3300000001</v>
      </c>
      <c r="O147" s="14">
        <v>0.99999993956451805</v>
      </c>
      <c r="P147" s="10">
        <v>0.38999999966472387</v>
      </c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  <c r="AH147" s="10"/>
      <c r="AI147" s="10"/>
      <c r="AJ147" s="10"/>
      <c r="AK147" s="10"/>
      <c r="AL147" s="10"/>
      <c r="AM147" s="10"/>
      <c r="AN147" s="10"/>
      <c r="AO147" s="10"/>
      <c r="AP147" s="10"/>
      <c r="AQ147" s="10"/>
      <c r="AR147" s="10"/>
      <c r="AS147" s="10"/>
      <c r="AT147" s="10"/>
      <c r="AU147" s="10"/>
      <c r="AV147" s="10"/>
      <c r="AW147" s="10"/>
      <c r="AX147" s="10"/>
      <c r="AY147" s="10"/>
      <c r="AZ147" s="10"/>
      <c r="BA147" s="10"/>
      <c r="BB147" s="10"/>
      <c r="BC147" s="10"/>
      <c r="BD147" s="10"/>
      <c r="BE147" s="10"/>
      <c r="BF147" s="10"/>
      <c r="BG147" s="10"/>
      <c r="BH147" s="10"/>
      <c r="BI147" s="10"/>
      <c r="BJ147" s="10"/>
      <c r="BK147" s="10"/>
      <c r="BL147" s="10"/>
      <c r="BM147" s="10"/>
      <c r="BN147" s="10"/>
      <c r="BO147" s="10"/>
      <c r="BP147" s="10"/>
      <c r="BQ147" s="10"/>
      <c r="BR147" s="10"/>
      <c r="BS147" s="10"/>
      <c r="BT147" s="10"/>
      <c r="BU147" s="10"/>
      <c r="BV147" s="10"/>
      <c r="BW147" s="10"/>
      <c r="BX147" s="15"/>
    </row>
    <row r="148" spans="1:76" x14ac:dyDescent="0.25">
      <c r="A148" s="16"/>
      <c r="B148" s="5" t="s">
        <v>367</v>
      </c>
      <c r="C148" s="11" t="s">
        <v>333</v>
      </c>
      <c r="D148" s="7">
        <v>401</v>
      </c>
      <c r="E148" s="8">
        <v>44807</v>
      </c>
      <c r="F148" s="9">
        <v>45208</v>
      </c>
      <c r="G148" s="10">
        <v>37535912.649999999</v>
      </c>
      <c r="H148" s="11" t="s">
        <v>98</v>
      </c>
      <c r="I148" s="11"/>
      <c r="J148" s="18" t="s">
        <v>90</v>
      </c>
      <c r="K148" s="11" t="s">
        <v>298</v>
      </c>
      <c r="L148" s="11" t="s">
        <v>368</v>
      </c>
      <c r="M148" s="13">
        <v>0</v>
      </c>
      <c r="N148" s="10">
        <v>25313733.129999995</v>
      </c>
      <c r="O148" s="14">
        <v>0.67438704277781825</v>
      </c>
      <c r="P148" s="10">
        <v>12222179.520000003</v>
      </c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  <c r="AG148" s="10"/>
      <c r="AH148" s="10"/>
      <c r="AI148" s="10"/>
      <c r="AJ148" s="10"/>
      <c r="AK148" s="10"/>
      <c r="AL148" s="10"/>
      <c r="AM148" s="10"/>
      <c r="AN148" s="10"/>
      <c r="AO148" s="10"/>
      <c r="AP148" s="10"/>
      <c r="AQ148" s="10"/>
      <c r="AR148" s="10"/>
      <c r="AS148" s="10"/>
      <c r="AT148" s="10"/>
      <c r="AU148" s="10"/>
      <c r="AV148" s="10"/>
      <c r="AW148" s="10"/>
      <c r="AX148" s="10"/>
      <c r="AY148" s="10"/>
      <c r="AZ148" s="10"/>
      <c r="BA148" s="10"/>
      <c r="BB148" s="10"/>
      <c r="BC148" s="10"/>
      <c r="BD148" s="10"/>
      <c r="BE148" s="10"/>
      <c r="BF148" s="10"/>
      <c r="BG148" s="10"/>
      <c r="BH148" s="10"/>
      <c r="BI148" s="10"/>
      <c r="BJ148" s="10"/>
      <c r="BK148" s="10"/>
      <c r="BL148" s="10"/>
      <c r="BM148" s="10"/>
      <c r="BN148" s="10"/>
      <c r="BO148" s="10"/>
      <c r="BP148" s="10"/>
      <c r="BQ148" s="10"/>
      <c r="BR148" s="10"/>
      <c r="BS148" s="10"/>
      <c r="BT148" s="10"/>
      <c r="BU148" s="10"/>
      <c r="BV148" s="10"/>
      <c r="BW148" s="10"/>
      <c r="BX148" s="15"/>
    </row>
    <row r="149" spans="1:76" x14ac:dyDescent="0.25">
      <c r="A149" s="16"/>
      <c r="B149" s="5" t="s">
        <v>369</v>
      </c>
      <c r="C149" s="11" t="s">
        <v>333</v>
      </c>
      <c r="D149" s="7">
        <v>231</v>
      </c>
      <c r="E149" s="8">
        <v>44753</v>
      </c>
      <c r="F149" s="9">
        <v>44984</v>
      </c>
      <c r="G149" s="10">
        <v>12679339.18</v>
      </c>
      <c r="H149" s="11" t="s">
        <v>120</v>
      </c>
      <c r="I149" s="11"/>
      <c r="J149" s="18" t="s">
        <v>90</v>
      </c>
      <c r="K149" s="11" t="s">
        <v>91</v>
      </c>
      <c r="L149" s="11" t="s">
        <v>185</v>
      </c>
      <c r="M149" s="13">
        <v>0</v>
      </c>
      <c r="N149" s="10">
        <v>133236.57999999999</v>
      </c>
      <c r="O149" s="14">
        <v>1.0508164353719891E-2</v>
      </c>
      <c r="P149" s="10">
        <v>12546102.6</v>
      </c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10"/>
      <c r="AQ149" s="10"/>
      <c r="AR149" s="10"/>
      <c r="AS149" s="10"/>
      <c r="AT149" s="10"/>
      <c r="AU149" s="10"/>
      <c r="AV149" s="10"/>
      <c r="AW149" s="10"/>
      <c r="AX149" s="10"/>
      <c r="AY149" s="10"/>
      <c r="AZ149" s="10"/>
      <c r="BA149" s="10"/>
      <c r="BB149" s="10"/>
      <c r="BC149" s="10"/>
      <c r="BD149" s="10"/>
      <c r="BE149" s="10"/>
      <c r="BF149" s="10"/>
      <c r="BG149" s="10"/>
      <c r="BH149" s="10"/>
      <c r="BI149" s="10"/>
      <c r="BJ149" s="10"/>
      <c r="BK149" s="10"/>
      <c r="BL149" s="10"/>
      <c r="BM149" s="10"/>
      <c r="BN149" s="10"/>
      <c r="BO149" s="10"/>
      <c r="BP149" s="10"/>
      <c r="BQ149" s="10"/>
      <c r="BR149" s="10"/>
      <c r="BS149" s="10"/>
      <c r="BT149" s="10"/>
      <c r="BU149" s="10"/>
      <c r="BV149" s="10"/>
      <c r="BW149" s="10"/>
      <c r="BX149" s="15"/>
    </row>
    <row r="150" spans="1:76" x14ac:dyDescent="0.25">
      <c r="A150" s="16"/>
      <c r="B150" s="5" t="s">
        <v>370</v>
      </c>
      <c r="C150" s="11" t="s">
        <v>333</v>
      </c>
      <c r="D150" s="7">
        <v>573</v>
      </c>
      <c r="E150" s="8">
        <v>44707</v>
      </c>
      <c r="F150" s="9">
        <v>45280</v>
      </c>
      <c r="G150" s="10">
        <v>8973983.8699999992</v>
      </c>
      <c r="H150" s="11" t="s">
        <v>120</v>
      </c>
      <c r="I150" s="11"/>
      <c r="J150" s="17" t="s">
        <v>85</v>
      </c>
      <c r="K150" s="11" t="s">
        <v>195</v>
      </c>
      <c r="L150" s="11" t="s">
        <v>200</v>
      </c>
      <c r="M150" s="13">
        <v>0</v>
      </c>
      <c r="N150" s="10">
        <v>2042159.2899999998</v>
      </c>
      <c r="O150" s="14">
        <v>0.22756440390169769</v>
      </c>
      <c r="P150" s="10">
        <v>6931824.5799999991</v>
      </c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  <c r="AG150" s="10"/>
      <c r="AH150" s="10"/>
      <c r="AI150" s="10"/>
      <c r="AJ150" s="10"/>
      <c r="AK150" s="10"/>
      <c r="AL150" s="10"/>
      <c r="AM150" s="10"/>
      <c r="AN150" s="10"/>
      <c r="AO150" s="10"/>
      <c r="AP150" s="10"/>
      <c r="AQ150" s="10"/>
      <c r="AR150" s="10"/>
      <c r="AS150" s="10"/>
      <c r="AT150" s="10"/>
      <c r="AU150" s="10"/>
      <c r="AV150" s="10"/>
      <c r="AW150" s="10"/>
      <c r="AX150" s="10"/>
      <c r="AY150" s="10"/>
      <c r="AZ150" s="10"/>
      <c r="BA150" s="10"/>
      <c r="BB150" s="10"/>
      <c r="BC150" s="10"/>
      <c r="BD150" s="10"/>
      <c r="BE150" s="10"/>
      <c r="BF150" s="10"/>
      <c r="BG150" s="10"/>
      <c r="BH150" s="10"/>
      <c r="BI150" s="10"/>
      <c r="BJ150" s="10"/>
      <c r="BK150" s="10"/>
      <c r="BL150" s="10"/>
      <c r="BM150" s="10"/>
      <c r="BN150" s="10"/>
      <c r="BO150" s="10"/>
      <c r="BP150" s="10"/>
      <c r="BQ150" s="10"/>
      <c r="BR150" s="10"/>
      <c r="BS150" s="10"/>
      <c r="BT150" s="10"/>
      <c r="BU150" s="10"/>
      <c r="BV150" s="10"/>
      <c r="BW150" s="10"/>
      <c r="BX150" s="15"/>
    </row>
    <row r="151" spans="1:76" x14ac:dyDescent="0.25">
      <c r="A151" s="16"/>
      <c r="B151" s="5" t="s">
        <v>371</v>
      </c>
      <c r="C151" s="11" t="s">
        <v>333</v>
      </c>
      <c r="D151" s="7">
        <v>336</v>
      </c>
      <c r="E151" s="8">
        <v>44903</v>
      </c>
      <c r="F151" s="9">
        <v>45239</v>
      </c>
      <c r="G151" s="10">
        <v>11928823.02</v>
      </c>
      <c r="H151" s="11" t="s">
        <v>120</v>
      </c>
      <c r="I151" s="11"/>
      <c r="J151" s="12" t="s">
        <v>80</v>
      </c>
      <c r="K151" s="11" t="s">
        <v>81</v>
      </c>
      <c r="L151" s="11" t="s">
        <v>212</v>
      </c>
      <c r="M151" s="13">
        <v>0</v>
      </c>
      <c r="N151" s="10">
        <v>4852080.3</v>
      </c>
      <c r="O151" s="14">
        <v>0.40675264373232362</v>
      </c>
      <c r="P151" s="10">
        <v>7076742.7199999997</v>
      </c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  <c r="AG151" s="10"/>
      <c r="AH151" s="10"/>
      <c r="AI151" s="10"/>
      <c r="AJ151" s="10"/>
      <c r="AK151" s="10"/>
      <c r="AL151" s="10"/>
      <c r="AM151" s="10"/>
      <c r="AN151" s="10"/>
      <c r="AO151" s="10"/>
      <c r="AP151" s="10"/>
      <c r="AQ151" s="10"/>
      <c r="AR151" s="10"/>
      <c r="AS151" s="10"/>
      <c r="AT151" s="10"/>
      <c r="AU151" s="10"/>
      <c r="AV151" s="10"/>
      <c r="AW151" s="10"/>
      <c r="AX151" s="10"/>
      <c r="AY151" s="10"/>
      <c r="AZ151" s="10"/>
      <c r="BA151" s="10"/>
      <c r="BB151" s="10"/>
      <c r="BC151" s="10"/>
      <c r="BD151" s="10"/>
      <c r="BE151" s="10"/>
      <c r="BF151" s="10"/>
      <c r="BG151" s="10"/>
      <c r="BH151" s="10"/>
      <c r="BI151" s="10"/>
      <c r="BJ151" s="10"/>
      <c r="BK151" s="10"/>
      <c r="BL151" s="10"/>
      <c r="BM151" s="10"/>
      <c r="BN151" s="10"/>
      <c r="BO151" s="10"/>
      <c r="BP151" s="10"/>
      <c r="BQ151" s="10"/>
      <c r="BR151" s="10"/>
      <c r="BS151" s="10"/>
      <c r="BT151" s="10"/>
      <c r="BU151" s="10"/>
      <c r="BV151" s="10"/>
      <c r="BW151" s="10"/>
      <c r="BX151" s="15"/>
    </row>
    <row r="152" spans="1:76" x14ac:dyDescent="0.25">
      <c r="A152" s="16"/>
      <c r="B152" s="5" t="s">
        <v>372</v>
      </c>
      <c r="C152" s="11" t="s">
        <v>333</v>
      </c>
      <c r="D152" s="7"/>
      <c r="E152" s="8">
        <v>45195</v>
      </c>
      <c r="F152" s="9">
        <v>45121</v>
      </c>
      <c r="G152" s="10">
        <v>1498793.43</v>
      </c>
      <c r="H152" s="11" t="s">
        <v>98</v>
      </c>
      <c r="I152" s="11"/>
      <c r="J152" s="12" t="s">
        <v>80</v>
      </c>
      <c r="K152" s="11" t="s">
        <v>157</v>
      </c>
      <c r="L152" s="11" t="s">
        <v>373</v>
      </c>
      <c r="M152" s="13">
        <v>0</v>
      </c>
      <c r="N152" s="10">
        <v>1496414.32</v>
      </c>
      <c r="O152" s="14">
        <v>0.99841264983394007</v>
      </c>
      <c r="P152" s="10">
        <v>2379.1099999998696</v>
      </c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  <c r="AG152" s="10"/>
      <c r="AH152" s="10"/>
      <c r="AI152" s="10"/>
      <c r="AJ152" s="10"/>
      <c r="AK152" s="10"/>
      <c r="AL152" s="10"/>
      <c r="AM152" s="10"/>
      <c r="AN152" s="10"/>
      <c r="AO152" s="10"/>
      <c r="AP152" s="10"/>
      <c r="AQ152" s="10"/>
      <c r="AR152" s="10"/>
      <c r="AS152" s="10"/>
      <c r="AT152" s="10"/>
      <c r="AU152" s="10"/>
      <c r="AV152" s="10"/>
      <c r="AW152" s="10"/>
      <c r="AX152" s="10"/>
      <c r="AY152" s="10"/>
      <c r="AZ152" s="10"/>
      <c r="BA152" s="10"/>
      <c r="BB152" s="10"/>
      <c r="BC152" s="10"/>
      <c r="BD152" s="10"/>
      <c r="BE152" s="10"/>
      <c r="BF152" s="10"/>
      <c r="BG152" s="10"/>
      <c r="BH152" s="10"/>
      <c r="BI152" s="10"/>
      <c r="BJ152" s="10"/>
      <c r="BK152" s="10"/>
      <c r="BL152" s="10"/>
      <c r="BM152" s="10"/>
      <c r="BN152" s="10"/>
      <c r="BO152" s="10"/>
      <c r="BP152" s="10"/>
      <c r="BQ152" s="10"/>
      <c r="BR152" s="10"/>
      <c r="BS152" s="10"/>
      <c r="BT152" s="10"/>
      <c r="BU152" s="10"/>
      <c r="BV152" s="10"/>
      <c r="BW152" s="10"/>
      <c r="BX152" s="15"/>
    </row>
    <row r="153" spans="1:76" x14ac:dyDescent="0.25">
      <c r="A153" s="16"/>
      <c r="B153" s="5" t="s">
        <v>374</v>
      </c>
      <c r="C153" s="11" t="s">
        <v>333</v>
      </c>
      <c r="D153" s="7">
        <v>180</v>
      </c>
      <c r="E153" s="8">
        <v>44816</v>
      </c>
      <c r="F153" s="9">
        <v>44996</v>
      </c>
      <c r="G153" s="10">
        <v>8995898.0500000007</v>
      </c>
      <c r="H153" s="11" t="s">
        <v>120</v>
      </c>
      <c r="I153" s="11"/>
      <c r="J153" s="17" t="s">
        <v>85</v>
      </c>
      <c r="K153" s="11" t="s">
        <v>375</v>
      </c>
      <c r="L153" s="11" t="s">
        <v>216</v>
      </c>
      <c r="M153" s="13">
        <v>0</v>
      </c>
      <c r="N153" s="10">
        <v>0</v>
      </c>
      <c r="O153" s="14">
        <v>0</v>
      </c>
      <c r="P153" s="10">
        <v>8995898.0500000007</v>
      </c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  <c r="AG153" s="10"/>
      <c r="AH153" s="10"/>
      <c r="AI153" s="10"/>
      <c r="AJ153" s="10"/>
      <c r="AK153" s="10"/>
      <c r="AL153" s="10"/>
      <c r="AM153" s="10"/>
      <c r="AN153" s="10"/>
      <c r="AO153" s="10"/>
      <c r="AP153" s="10"/>
      <c r="AQ153" s="10"/>
      <c r="AR153" s="10"/>
      <c r="AS153" s="10"/>
      <c r="AT153" s="10"/>
      <c r="AU153" s="10"/>
      <c r="AV153" s="10"/>
      <c r="AW153" s="10"/>
      <c r="AX153" s="10"/>
      <c r="AY153" s="10"/>
      <c r="AZ153" s="10"/>
      <c r="BA153" s="10"/>
      <c r="BB153" s="10"/>
      <c r="BC153" s="10"/>
      <c r="BD153" s="10"/>
      <c r="BE153" s="10"/>
      <c r="BF153" s="10"/>
      <c r="BG153" s="10"/>
      <c r="BH153" s="10"/>
      <c r="BI153" s="10"/>
      <c r="BJ153" s="10"/>
      <c r="BK153" s="10"/>
      <c r="BL153" s="10"/>
      <c r="BM153" s="10"/>
      <c r="BN153" s="10"/>
      <c r="BO153" s="10"/>
      <c r="BP153" s="10"/>
      <c r="BQ153" s="10"/>
      <c r="BR153" s="10"/>
      <c r="BS153" s="10"/>
      <c r="BT153" s="10"/>
      <c r="BU153" s="10"/>
      <c r="BV153" s="10"/>
      <c r="BW153" s="10"/>
      <c r="BX153" s="15"/>
    </row>
    <row r="154" spans="1:76" x14ac:dyDescent="0.25">
      <c r="A154" s="16"/>
      <c r="B154" s="5" t="s">
        <v>376</v>
      </c>
      <c r="C154" s="11" t="s">
        <v>333</v>
      </c>
      <c r="D154" s="7">
        <v>0</v>
      </c>
      <c r="E154" s="8">
        <v>45034</v>
      </c>
      <c r="F154" s="9">
        <v>45034</v>
      </c>
      <c r="G154" s="10">
        <v>3552093.82</v>
      </c>
      <c r="H154" s="11" t="s">
        <v>98</v>
      </c>
      <c r="I154" s="11"/>
      <c r="J154" s="17" t="s">
        <v>85</v>
      </c>
      <c r="K154" s="11" t="s">
        <v>260</v>
      </c>
      <c r="L154" s="11" t="s">
        <v>377</v>
      </c>
      <c r="M154" s="13">
        <v>0</v>
      </c>
      <c r="N154" s="10">
        <v>3552073.1</v>
      </c>
      <c r="O154" s="14">
        <v>0.99999416682074016</v>
      </c>
      <c r="P154" s="10">
        <v>20.71999999973923</v>
      </c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  <c r="AG154" s="10"/>
      <c r="AH154" s="10"/>
      <c r="AI154" s="10"/>
      <c r="AJ154" s="10"/>
      <c r="AK154" s="10"/>
      <c r="AL154" s="10"/>
      <c r="AM154" s="10"/>
      <c r="AN154" s="10"/>
      <c r="AO154" s="10"/>
      <c r="AP154" s="10"/>
      <c r="AQ154" s="10"/>
      <c r="AR154" s="10"/>
      <c r="AS154" s="10"/>
      <c r="AT154" s="10"/>
      <c r="AU154" s="10"/>
      <c r="AV154" s="10"/>
      <c r="AW154" s="10"/>
      <c r="AX154" s="10"/>
      <c r="AY154" s="10"/>
      <c r="AZ154" s="10"/>
      <c r="BA154" s="10"/>
      <c r="BB154" s="10"/>
      <c r="BC154" s="10"/>
      <c r="BD154" s="10"/>
      <c r="BE154" s="10"/>
      <c r="BF154" s="10"/>
      <c r="BG154" s="10"/>
      <c r="BH154" s="10"/>
      <c r="BI154" s="10"/>
      <c r="BJ154" s="10"/>
      <c r="BK154" s="10"/>
      <c r="BL154" s="10"/>
      <c r="BM154" s="10"/>
      <c r="BN154" s="10"/>
      <c r="BO154" s="10"/>
      <c r="BP154" s="10"/>
      <c r="BQ154" s="10"/>
      <c r="BR154" s="10"/>
      <c r="BS154" s="10"/>
      <c r="BT154" s="10"/>
      <c r="BU154" s="10"/>
      <c r="BV154" s="10"/>
      <c r="BW154" s="10"/>
      <c r="BX154" s="15"/>
    </row>
    <row r="155" spans="1:76" x14ac:dyDescent="0.25">
      <c r="A155" s="16"/>
      <c r="B155" s="5" t="s">
        <v>378</v>
      </c>
      <c r="C155" s="11" t="s">
        <v>333</v>
      </c>
      <c r="D155" s="7">
        <v>111</v>
      </c>
      <c r="E155" s="8">
        <v>45365</v>
      </c>
      <c r="F155" s="9">
        <v>45476</v>
      </c>
      <c r="G155" s="10">
        <v>10134014.66</v>
      </c>
      <c r="H155" s="11" t="s">
        <v>120</v>
      </c>
      <c r="I155" s="11"/>
      <c r="J155" s="18" t="s">
        <v>90</v>
      </c>
      <c r="K155" s="11" t="s">
        <v>298</v>
      </c>
      <c r="L155" s="11" t="s">
        <v>230</v>
      </c>
      <c r="M155" s="13">
        <v>0</v>
      </c>
      <c r="N155" s="10">
        <v>0</v>
      </c>
      <c r="O155" s="14">
        <v>0</v>
      </c>
      <c r="P155" s="10">
        <v>10134014.66</v>
      </c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  <c r="AG155" s="10"/>
      <c r="AH155" s="10"/>
      <c r="AI155" s="10"/>
      <c r="AJ155" s="10"/>
      <c r="AK155" s="10"/>
      <c r="AL155" s="10"/>
      <c r="AM155" s="10"/>
      <c r="AN155" s="10"/>
      <c r="AO155" s="10"/>
      <c r="AP155" s="10"/>
      <c r="AQ155" s="10"/>
      <c r="AR155" s="10"/>
      <c r="AS155" s="10"/>
      <c r="AT155" s="10"/>
      <c r="AU155" s="10"/>
      <c r="AV155" s="10"/>
      <c r="AW155" s="10"/>
      <c r="AX155" s="10"/>
      <c r="AY155" s="10"/>
      <c r="AZ155" s="10"/>
      <c r="BA155" s="10"/>
      <c r="BB155" s="10"/>
      <c r="BC155" s="10"/>
      <c r="BD155" s="10"/>
      <c r="BE155" s="10"/>
      <c r="BF155" s="10"/>
      <c r="BG155" s="10"/>
      <c r="BH155" s="10"/>
      <c r="BI155" s="10"/>
      <c r="BJ155" s="10"/>
      <c r="BK155" s="10"/>
      <c r="BL155" s="10"/>
      <c r="BM155" s="10"/>
      <c r="BN155" s="10"/>
      <c r="BO155" s="10"/>
      <c r="BP155" s="10"/>
      <c r="BQ155" s="10"/>
      <c r="BR155" s="10"/>
      <c r="BS155" s="10"/>
      <c r="BT155" s="10"/>
      <c r="BU155" s="10"/>
      <c r="BV155" s="10"/>
      <c r="BW155" s="10"/>
      <c r="BX155" s="15"/>
    </row>
    <row r="156" spans="1:76" x14ac:dyDescent="0.25">
      <c r="A156" s="16"/>
      <c r="B156" s="5" t="s">
        <v>379</v>
      </c>
      <c r="C156" s="11" t="s">
        <v>333</v>
      </c>
      <c r="D156" s="7">
        <v>447</v>
      </c>
      <c r="E156" s="8">
        <v>44511</v>
      </c>
      <c r="F156" s="9">
        <v>44958</v>
      </c>
      <c r="G156" s="10">
        <v>22759968.59</v>
      </c>
      <c r="H156" s="11" t="s">
        <v>120</v>
      </c>
      <c r="I156" s="11"/>
      <c r="J156" s="18" t="s">
        <v>90</v>
      </c>
      <c r="K156" s="11" t="s">
        <v>91</v>
      </c>
      <c r="L156" s="11" t="s">
        <v>230</v>
      </c>
      <c r="M156" s="13">
        <v>0</v>
      </c>
      <c r="N156" s="10">
        <v>12576165.07</v>
      </c>
      <c r="O156" s="14">
        <v>0.55255634559731182</v>
      </c>
      <c r="P156" s="10">
        <v>10183803.52</v>
      </c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  <c r="AG156" s="10"/>
      <c r="AH156" s="10"/>
      <c r="AI156" s="10"/>
      <c r="AJ156" s="10"/>
      <c r="AK156" s="10"/>
      <c r="AL156" s="10"/>
      <c r="AM156" s="10"/>
      <c r="AN156" s="10"/>
      <c r="AO156" s="10"/>
      <c r="AP156" s="10"/>
      <c r="AQ156" s="10"/>
      <c r="AR156" s="10"/>
      <c r="AS156" s="10"/>
      <c r="AT156" s="10"/>
      <c r="AU156" s="10"/>
      <c r="AV156" s="10"/>
      <c r="AW156" s="10"/>
      <c r="AX156" s="10"/>
      <c r="AY156" s="10"/>
      <c r="AZ156" s="10"/>
      <c r="BA156" s="10"/>
      <c r="BB156" s="10"/>
      <c r="BC156" s="10"/>
      <c r="BD156" s="10"/>
      <c r="BE156" s="10"/>
      <c r="BF156" s="10"/>
      <c r="BG156" s="10"/>
      <c r="BH156" s="10"/>
      <c r="BI156" s="10"/>
      <c r="BJ156" s="10"/>
      <c r="BK156" s="10"/>
      <c r="BL156" s="10"/>
      <c r="BM156" s="10"/>
      <c r="BN156" s="10"/>
      <c r="BO156" s="10"/>
      <c r="BP156" s="10"/>
      <c r="BQ156" s="10"/>
      <c r="BR156" s="10"/>
      <c r="BS156" s="10"/>
      <c r="BT156" s="10"/>
      <c r="BU156" s="10"/>
      <c r="BV156" s="10"/>
      <c r="BW156" s="10"/>
      <c r="BX156" s="15"/>
    </row>
    <row r="157" spans="1:76" x14ac:dyDescent="0.25">
      <c r="A157" s="16"/>
      <c r="B157" s="5" t="s">
        <v>380</v>
      </c>
      <c r="C157" s="11" t="s">
        <v>333</v>
      </c>
      <c r="D157" s="7">
        <v>450</v>
      </c>
      <c r="E157" s="8">
        <v>45624</v>
      </c>
      <c r="F157" s="9">
        <v>46074</v>
      </c>
      <c r="G157" s="10">
        <v>104939756.55</v>
      </c>
      <c r="H157" s="11" t="s">
        <v>78</v>
      </c>
      <c r="I157" s="11"/>
      <c r="J157" s="19" t="s">
        <v>160</v>
      </c>
      <c r="K157" s="11" t="s">
        <v>161</v>
      </c>
      <c r="L157" s="11" t="s">
        <v>381</v>
      </c>
      <c r="M157" s="13">
        <v>26360257.240000002</v>
      </c>
      <c r="N157" s="10">
        <v>26360257.240000002</v>
      </c>
      <c r="O157" s="14">
        <v>0.25119419090171319</v>
      </c>
      <c r="P157" s="10">
        <v>78579499.310000002</v>
      </c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  <c r="AH157" s="10"/>
      <c r="AI157" s="10"/>
      <c r="AJ157" s="10"/>
      <c r="AK157" s="10"/>
      <c r="AL157" s="10"/>
      <c r="AM157" s="10"/>
      <c r="AN157" s="10"/>
      <c r="AO157" s="10"/>
      <c r="AP157" s="10"/>
      <c r="AQ157" s="10"/>
      <c r="AR157" s="10"/>
      <c r="AS157" s="10"/>
      <c r="AT157" s="10"/>
      <c r="AU157" s="10"/>
      <c r="AV157" s="10"/>
      <c r="AW157" s="10"/>
      <c r="AX157" s="10"/>
      <c r="AY157" s="10"/>
      <c r="AZ157" s="10"/>
      <c r="BA157" s="10"/>
      <c r="BB157" s="10"/>
      <c r="BC157" s="10"/>
      <c r="BD157" s="10"/>
      <c r="BE157" s="10"/>
      <c r="BF157" s="10"/>
      <c r="BG157" s="10"/>
      <c r="BH157" s="10"/>
      <c r="BI157" s="10"/>
      <c r="BJ157" s="10"/>
      <c r="BK157" s="10"/>
      <c r="BL157" s="10"/>
      <c r="BM157" s="10"/>
      <c r="BN157" s="10"/>
      <c r="BO157" s="10"/>
      <c r="BP157" s="10"/>
      <c r="BQ157" s="10"/>
      <c r="BR157" s="10"/>
      <c r="BS157" s="10"/>
      <c r="BT157" s="10"/>
      <c r="BU157" s="10"/>
      <c r="BV157" s="10"/>
      <c r="BW157" s="10"/>
      <c r="BX157" s="15"/>
    </row>
    <row r="158" spans="1:76" x14ac:dyDescent="0.25">
      <c r="A158" s="16"/>
      <c r="B158" s="5" t="s">
        <v>382</v>
      </c>
      <c r="C158" s="11" t="s">
        <v>333</v>
      </c>
      <c r="D158" s="7">
        <v>753</v>
      </c>
      <c r="E158" s="8">
        <v>44536</v>
      </c>
      <c r="F158" s="9">
        <v>45289</v>
      </c>
      <c r="G158" s="10">
        <v>5312585.57</v>
      </c>
      <c r="H158" s="11" t="s">
        <v>98</v>
      </c>
      <c r="I158" s="11"/>
      <c r="J158" s="12" t="s">
        <v>80</v>
      </c>
      <c r="K158" s="11" t="s">
        <v>81</v>
      </c>
      <c r="L158" s="11" t="s">
        <v>383</v>
      </c>
      <c r="M158" s="13">
        <v>0</v>
      </c>
      <c r="N158" s="10">
        <v>5260332.26</v>
      </c>
      <c r="O158" s="14">
        <v>0.99016424125098834</v>
      </c>
      <c r="P158" s="10">
        <v>52253.310000000522</v>
      </c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  <c r="AG158" s="10"/>
      <c r="AH158" s="10"/>
      <c r="AI158" s="10"/>
      <c r="AJ158" s="10"/>
      <c r="AK158" s="10"/>
      <c r="AL158" s="10"/>
      <c r="AM158" s="10"/>
      <c r="AN158" s="10"/>
      <c r="AO158" s="10"/>
      <c r="AP158" s="10"/>
      <c r="AQ158" s="10"/>
      <c r="AR158" s="10"/>
      <c r="AS158" s="10"/>
      <c r="AT158" s="10"/>
      <c r="AU158" s="10"/>
      <c r="AV158" s="10"/>
      <c r="AW158" s="10"/>
      <c r="AX158" s="10"/>
      <c r="AY158" s="10"/>
      <c r="AZ158" s="10"/>
      <c r="BA158" s="10"/>
      <c r="BB158" s="10"/>
      <c r="BC158" s="10"/>
      <c r="BD158" s="10"/>
      <c r="BE158" s="10"/>
      <c r="BF158" s="10"/>
      <c r="BG158" s="10"/>
      <c r="BH158" s="10"/>
      <c r="BI158" s="10"/>
      <c r="BJ158" s="10"/>
      <c r="BK158" s="10"/>
      <c r="BL158" s="10"/>
      <c r="BM158" s="10"/>
      <c r="BN158" s="10"/>
      <c r="BO158" s="10"/>
      <c r="BP158" s="10"/>
      <c r="BQ158" s="10"/>
      <c r="BR158" s="10"/>
      <c r="BS158" s="10"/>
      <c r="BT158" s="10"/>
      <c r="BU158" s="10"/>
      <c r="BV158" s="10"/>
      <c r="BW158" s="10"/>
      <c r="BX158" s="15"/>
    </row>
    <row r="159" spans="1:76" x14ac:dyDescent="0.25">
      <c r="A159" s="16"/>
      <c r="B159" s="5" t="s">
        <v>384</v>
      </c>
      <c r="C159" s="11" t="s">
        <v>333</v>
      </c>
      <c r="D159" s="7">
        <v>404</v>
      </c>
      <c r="E159" s="8">
        <v>44804</v>
      </c>
      <c r="F159" s="9">
        <v>45208</v>
      </c>
      <c r="G159" s="10">
        <v>2994510.29</v>
      </c>
      <c r="H159" s="11" t="s">
        <v>98</v>
      </c>
      <c r="I159" s="11"/>
      <c r="J159" s="18" t="s">
        <v>90</v>
      </c>
      <c r="K159" s="11" t="s">
        <v>96</v>
      </c>
      <c r="L159" s="11" t="s">
        <v>385</v>
      </c>
      <c r="M159" s="13">
        <v>0</v>
      </c>
      <c r="N159" s="10">
        <v>2867505.09</v>
      </c>
      <c r="O159" s="14">
        <v>0.95758732223291165</v>
      </c>
      <c r="P159" s="10">
        <v>127005.20000000019</v>
      </c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  <c r="AG159" s="10"/>
      <c r="AH159" s="10"/>
      <c r="AI159" s="10"/>
      <c r="AJ159" s="10"/>
      <c r="AK159" s="10"/>
      <c r="AL159" s="10"/>
      <c r="AM159" s="10"/>
      <c r="AN159" s="10"/>
      <c r="AO159" s="10"/>
      <c r="AP159" s="10"/>
      <c r="AQ159" s="10"/>
      <c r="AR159" s="10"/>
      <c r="AS159" s="10"/>
      <c r="AT159" s="10"/>
      <c r="AU159" s="10"/>
      <c r="AV159" s="10"/>
      <c r="AW159" s="10"/>
      <c r="AX159" s="10"/>
      <c r="AY159" s="10"/>
      <c r="AZ159" s="10"/>
      <c r="BA159" s="10"/>
      <c r="BB159" s="10"/>
      <c r="BC159" s="10"/>
      <c r="BD159" s="10"/>
      <c r="BE159" s="10"/>
      <c r="BF159" s="10"/>
      <c r="BG159" s="10"/>
      <c r="BH159" s="10"/>
      <c r="BI159" s="10"/>
      <c r="BJ159" s="10"/>
      <c r="BK159" s="10"/>
      <c r="BL159" s="10"/>
      <c r="BM159" s="10"/>
      <c r="BN159" s="10"/>
      <c r="BO159" s="10"/>
      <c r="BP159" s="10"/>
      <c r="BQ159" s="10"/>
      <c r="BR159" s="10"/>
      <c r="BS159" s="10"/>
      <c r="BT159" s="10"/>
      <c r="BU159" s="10"/>
      <c r="BV159" s="10"/>
      <c r="BW159" s="10"/>
      <c r="BX159" s="15"/>
    </row>
    <row r="160" spans="1:76" x14ac:dyDescent="0.25">
      <c r="A160" s="16"/>
      <c r="B160" s="5" t="s">
        <v>386</v>
      </c>
      <c r="C160" s="11" t="s">
        <v>333</v>
      </c>
      <c r="D160" s="7">
        <v>546</v>
      </c>
      <c r="E160" s="8">
        <v>44832</v>
      </c>
      <c r="F160" s="9">
        <v>45378</v>
      </c>
      <c r="G160" s="10">
        <v>8156656.1900000004</v>
      </c>
      <c r="H160" s="11" t="s">
        <v>98</v>
      </c>
      <c r="I160" s="11"/>
      <c r="J160" s="17" t="s">
        <v>85</v>
      </c>
      <c r="K160" s="11" t="s">
        <v>169</v>
      </c>
      <c r="L160" s="11" t="s">
        <v>250</v>
      </c>
      <c r="M160" s="13">
        <v>0</v>
      </c>
      <c r="N160" s="10">
        <v>8156656.1299999999</v>
      </c>
      <c r="O160" s="14">
        <v>0.99999999264404438</v>
      </c>
      <c r="P160" s="10">
        <v>6.0000000521540642E-2</v>
      </c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  <c r="AG160" s="10"/>
      <c r="AH160" s="10"/>
      <c r="AI160" s="10"/>
      <c r="AJ160" s="10"/>
      <c r="AK160" s="10"/>
      <c r="AL160" s="10"/>
      <c r="AM160" s="10"/>
      <c r="AN160" s="10"/>
      <c r="AO160" s="10"/>
      <c r="AP160" s="10"/>
      <c r="AQ160" s="10"/>
      <c r="AR160" s="10"/>
      <c r="AS160" s="10"/>
      <c r="AT160" s="10"/>
      <c r="AU160" s="10"/>
      <c r="AV160" s="10"/>
      <c r="AW160" s="10"/>
      <c r="AX160" s="10"/>
      <c r="AY160" s="10"/>
      <c r="AZ160" s="10"/>
      <c r="BA160" s="10"/>
      <c r="BB160" s="10"/>
      <c r="BC160" s="10"/>
      <c r="BD160" s="10"/>
      <c r="BE160" s="10"/>
      <c r="BF160" s="10"/>
      <c r="BG160" s="10"/>
      <c r="BH160" s="10"/>
      <c r="BI160" s="10"/>
      <c r="BJ160" s="10"/>
      <c r="BK160" s="10"/>
      <c r="BL160" s="10"/>
      <c r="BM160" s="10"/>
      <c r="BN160" s="10"/>
      <c r="BO160" s="10"/>
      <c r="BP160" s="10"/>
      <c r="BQ160" s="10"/>
      <c r="BR160" s="10"/>
      <c r="BS160" s="10"/>
      <c r="BT160" s="10"/>
      <c r="BU160" s="10"/>
      <c r="BV160" s="10"/>
      <c r="BW160" s="10"/>
      <c r="BX160" s="15"/>
    </row>
    <row r="161" spans="1:76" x14ac:dyDescent="0.25">
      <c r="A161" s="16"/>
      <c r="B161" s="5" t="s">
        <v>387</v>
      </c>
      <c r="C161" s="11" t="s">
        <v>333</v>
      </c>
      <c r="D161" s="7">
        <v>215</v>
      </c>
      <c r="E161" s="8">
        <v>44783</v>
      </c>
      <c r="F161" s="9">
        <v>44998</v>
      </c>
      <c r="G161" s="10">
        <v>21672861.460000001</v>
      </c>
      <c r="H161" s="11" t="s">
        <v>120</v>
      </c>
      <c r="I161" s="11"/>
      <c r="J161" s="18" t="s">
        <v>90</v>
      </c>
      <c r="K161" s="11" t="s">
        <v>91</v>
      </c>
      <c r="L161" s="11" t="s">
        <v>257</v>
      </c>
      <c r="M161" s="13">
        <v>0</v>
      </c>
      <c r="N161" s="10">
        <v>137475.09</v>
      </c>
      <c r="O161" s="14">
        <v>0.63431905497909269</v>
      </c>
      <c r="P161" s="10">
        <v>21535386.370000001</v>
      </c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  <c r="AG161" s="10"/>
      <c r="AH161" s="10"/>
      <c r="AI161" s="10"/>
      <c r="AJ161" s="10"/>
      <c r="AK161" s="10"/>
      <c r="AL161" s="10"/>
      <c r="AM161" s="10"/>
      <c r="AN161" s="10"/>
      <c r="AO161" s="10"/>
      <c r="AP161" s="10"/>
      <c r="AQ161" s="10"/>
      <c r="AR161" s="10"/>
      <c r="AS161" s="10"/>
      <c r="AT161" s="10"/>
      <c r="AU161" s="10"/>
      <c r="AV161" s="10"/>
      <c r="AW161" s="10"/>
      <c r="AX161" s="10"/>
      <c r="AY161" s="10"/>
      <c r="AZ161" s="10"/>
      <c r="BA161" s="10"/>
      <c r="BB161" s="10"/>
      <c r="BC161" s="10"/>
      <c r="BD161" s="10"/>
      <c r="BE161" s="10"/>
      <c r="BF161" s="10"/>
      <c r="BG161" s="10"/>
      <c r="BH161" s="10"/>
      <c r="BI161" s="10"/>
      <c r="BJ161" s="10"/>
      <c r="BK161" s="10"/>
      <c r="BL161" s="10"/>
      <c r="BM161" s="10"/>
      <c r="BN161" s="10"/>
      <c r="BO161" s="10"/>
      <c r="BP161" s="10"/>
      <c r="BQ161" s="10"/>
      <c r="BR161" s="10"/>
      <c r="BS161" s="10"/>
      <c r="BT161" s="10"/>
      <c r="BU161" s="10"/>
      <c r="BV161" s="10"/>
      <c r="BW161" s="10"/>
      <c r="BX161" s="15"/>
    </row>
    <row r="162" spans="1:76" x14ac:dyDescent="0.25">
      <c r="A162" s="16"/>
      <c r="B162" s="5" t="s">
        <v>388</v>
      </c>
      <c r="C162" s="11" t="s">
        <v>333</v>
      </c>
      <c r="D162" s="7">
        <v>380</v>
      </c>
      <c r="E162" s="8">
        <v>44564</v>
      </c>
      <c r="F162" s="9">
        <v>44944</v>
      </c>
      <c r="G162" s="10">
        <v>32836774.760000002</v>
      </c>
      <c r="H162" s="11" t="s">
        <v>98</v>
      </c>
      <c r="I162" s="11"/>
      <c r="J162" s="18" t="s">
        <v>90</v>
      </c>
      <c r="K162" s="11" t="s">
        <v>148</v>
      </c>
      <c r="L162" s="11" t="s">
        <v>257</v>
      </c>
      <c r="M162" s="13">
        <v>0</v>
      </c>
      <c r="N162" s="10">
        <v>46178509.210000001</v>
      </c>
      <c r="O162" s="14">
        <v>1</v>
      </c>
      <c r="P162" s="10">
        <v>-13341734.449999999</v>
      </c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  <c r="AG162" s="10"/>
      <c r="AH162" s="10"/>
      <c r="AI162" s="10"/>
      <c r="AJ162" s="10"/>
      <c r="AK162" s="10"/>
      <c r="AL162" s="10"/>
      <c r="AM162" s="10"/>
      <c r="AN162" s="10"/>
      <c r="AO162" s="10"/>
      <c r="AP162" s="10"/>
      <c r="AQ162" s="10"/>
      <c r="AR162" s="10"/>
      <c r="AS162" s="10"/>
      <c r="AT162" s="10"/>
      <c r="AU162" s="10"/>
      <c r="AV162" s="10"/>
      <c r="AW162" s="10"/>
      <c r="AX162" s="10"/>
      <c r="AY162" s="10"/>
      <c r="AZ162" s="10"/>
      <c r="BA162" s="10"/>
      <c r="BB162" s="10"/>
      <c r="BC162" s="10"/>
      <c r="BD162" s="10"/>
      <c r="BE162" s="10"/>
      <c r="BF162" s="10"/>
      <c r="BG162" s="10"/>
      <c r="BH162" s="10"/>
      <c r="BI162" s="10"/>
      <c r="BJ162" s="10"/>
      <c r="BK162" s="10"/>
      <c r="BL162" s="10"/>
      <c r="BM162" s="10"/>
      <c r="BN162" s="10"/>
      <c r="BO162" s="10"/>
      <c r="BP162" s="10"/>
      <c r="BQ162" s="10"/>
      <c r="BR162" s="10"/>
      <c r="BS162" s="10"/>
      <c r="BT162" s="10"/>
      <c r="BU162" s="10"/>
      <c r="BV162" s="10"/>
      <c r="BW162" s="10"/>
      <c r="BX162" s="15"/>
    </row>
    <row r="163" spans="1:76" x14ac:dyDescent="0.25">
      <c r="A163" s="16"/>
      <c r="B163" s="5" t="s">
        <v>389</v>
      </c>
      <c r="C163" s="11" t="s">
        <v>333</v>
      </c>
      <c r="D163" s="7">
        <v>2569</v>
      </c>
      <c r="E163" s="8">
        <v>41443</v>
      </c>
      <c r="F163" s="9">
        <v>44012</v>
      </c>
      <c r="G163" s="10">
        <v>14144248.92</v>
      </c>
      <c r="H163" s="11" t="s">
        <v>120</v>
      </c>
      <c r="I163" s="11"/>
      <c r="J163" s="19" t="s">
        <v>160</v>
      </c>
      <c r="K163" s="11" t="s">
        <v>161</v>
      </c>
      <c r="L163" s="11" t="s">
        <v>390</v>
      </c>
      <c r="M163" s="13">
        <v>0</v>
      </c>
      <c r="N163" s="10">
        <v>0</v>
      </c>
      <c r="O163" s="14">
        <v>0</v>
      </c>
      <c r="P163" s="10">
        <v>14144248.92</v>
      </c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  <c r="AG163" s="10"/>
      <c r="AH163" s="10"/>
      <c r="AI163" s="10"/>
      <c r="AJ163" s="10"/>
      <c r="AK163" s="10"/>
      <c r="AL163" s="10"/>
      <c r="AM163" s="10"/>
      <c r="AN163" s="10"/>
      <c r="AO163" s="10"/>
      <c r="AP163" s="10"/>
      <c r="AQ163" s="10"/>
      <c r="AR163" s="10"/>
      <c r="AS163" s="10"/>
      <c r="AT163" s="10"/>
      <c r="AU163" s="10"/>
      <c r="AV163" s="10"/>
      <c r="AW163" s="10"/>
      <c r="AX163" s="10"/>
      <c r="AY163" s="10"/>
      <c r="AZ163" s="10"/>
      <c r="BA163" s="10"/>
      <c r="BB163" s="10"/>
      <c r="BC163" s="10"/>
      <c r="BD163" s="10"/>
      <c r="BE163" s="10"/>
      <c r="BF163" s="10"/>
      <c r="BG163" s="10"/>
      <c r="BH163" s="10"/>
      <c r="BI163" s="10"/>
      <c r="BJ163" s="10"/>
      <c r="BK163" s="10"/>
      <c r="BL163" s="10"/>
      <c r="BM163" s="10"/>
      <c r="BN163" s="10"/>
      <c r="BO163" s="10"/>
      <c r="BP163" s="10"/>
      <c r="BQ163" s="10"/>
      <c r="BR163" s="10"/>
      <c r="BS163" s="10"/>
      <c r="BT163" s="10"/>
      <c r="BU163" s="10"/>
      <c r="BV163" s="10"/>
      <c r="BW163" s="10"/>
      <c r="BX163" s="15"/>
    </row>
    <row r="164" spans="1:76" x14ac:dyDescent="0.25">
      <c r="A164" s="16"/>
      <c r="B164" s="5" t="s">
        <v>391</v>
      </c>
      <c r="C164" s="11" t="s">
        <v>333</v>
      </c>
      <c r="D164" s="7">
        <v>550</v>
      </c>
      <c r="E164" s="8">
        <v>44840</v>
      </c>
      <c r="F164" s="9">
        <v>45390</v>
      </c>
      <c r="G164" s="10">
        <v>2394811.9500000002</v>
      </c>
      <c r="H164" s="11" t="s">
        <v>120</v>
      </c>
      <c r="I164" s="11"/>
      <c r="J164" s="17" t="s">
        <v>85</v>
      </c>
      <c r="K164" s="11" t="s">
        <v>243</v>
      </c>
      <c r="L164" s="11" t="s">
        <v>392</v>
      </c>
      <c r="M164" s="13">
        <v>0</v>
      </c>
      <c r="N164" s="10">
        <v>264324.59999999998</v>
      </c>
      <c r="O164" s="14">
        <v>0.11037384375837941</v>
      </c>
      <c r="P164" s="10">
        <v>2130487.35</v>
      </c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  <c r="AG164" s="10"/>
      <c r="AH164" s="10"/>
      <c r="AI164" s="10"/>
      <c r="AJ164" s="10"/>
      <c r="AK164" s="10"/>
      <c r="AL164" s="10"/>
      <c r="AM164" s="10"/>
      <c r="AN164" s="10"/>
      <c r="AO164" s="10"/>
      <c r="AP164" s="10"/>
      <c r="AQ164" s="10"/>
      <c r="AR164" s="10"/>
      <c r="AS164" s="10"/>
      <c r="AT164" s="10"/>
      <c r="AU164" s="10"/>
      <c r="AV164" s="10"/>
      <c r="AW164" s="10"/>
      <c r="AX164" s="10"/>
      <c r="AY164" s="10"/>
      <c r="AZ164" s="10"/>
      <c r="BA164" s="10"/>
      <c r="BB164" s="10"/>
      <c r="BC164" s="10"/>
      <c r="BD164" s="10"/>
      <c r="BE164" s="10"/>
      <c r="BF164" s="10"/>
      <c r="BG164" s="10"/>
      <c r="BH164" s="10"/>
      <c r="BI164" s="10"/>
      <c r="BJ164" s="10"/>
      <c r="BK164" s="10"/>
      <c r="BL164" s="10"/>
      <c r="BM164" s="10"/>
      <c r="BN164" s="10"/>
      <c r="BO164" s="10"/>
      <c r="BP164" s="10"/>
      <c r="BQ164" s="10"/>
      <c r="BR164" s="10"/>
      <c r="BS164" s="10"/>
      <c r="BT164" s="10"/>
      <c r="BU164" s="10"/>
      <c r="BV164" s="10"/>
      <c r="BW164" s="10"/>
      <c r="BX164" s="15"/>
    </row>
    <row r="165" spans="1:76" x14ac:dyDescent="0.25">
      <c r="A165" s="16"/>
      <c r="B165" s="5" t="s">
        <v>393</v>
      </c>
      <c r="C165" s="11" t="s">
        <v>333</v>
      </c>
      <c r="D165" s="7">
        <v>528</v>
      </c>
      <c r="E165" s="8">
        <v>44883</v>
      </c>
      <c r="F165" s="9">
        <v>45411</v>
      </c>
      <c r="G165" s="10">
        <v>2975474.34</v>
      </c>
      <c r="H165" s="11" t="s">
        <v>98</v>
      </c>
      <c r="I165" s="11"/>
      <c r="J165" s="17" t="s">
        <v>85</v>
      </c>
      <c r="K165" s="11" t="s">
        <v>394</v>
      </c>
      <c r="L165" s="11" t="s">
        <v>395</v>
      </c>
      <c r="M165" s="13">
        <v>0</v>
      </c>
      <c r="N165" s="10">
        <v>2975297.3200000003</v>
      </c>
      <c r="O165" s="14">
        <v>0.99994050696468118</v>
      </c>
      <c r="P165" s="10">
        <v>177.01999999955297</v>
      </c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  <c r="AG165" s="10"/>
      <c r="AH165" s="10"/>
      <c r="AI165" s="10"/>
      <c r="AJ165" s="10"/>
      <c r="AK165" s="10"/>
      <c r="AL165" s="10"/>
      <c r="AM165" s="10"/>
      <c r="AN165" s="10"/>
      <c r="AO165" s="10"/>
      <c r="AP165" s="10"/>
      <c r="AQ165" s="10"/>
      <c r="AR165" s="10"/>
      <c r="AS165" s="10"/>
      <c r="AT165" s="10"/>
      <c r="AU165" s="10"/>
      <c r="AV165" s="10"/>
      <c r="AW165" s="10"/>
      <c r="AX165" s="10"/>
      <c r="AY165" s="10"/>
      <c r="AZ165" s="10"/>
      <c r="BA165" s="10"/>
      <c r="BB165" s="10"/>
      <c r="BC165" s="10"/>
      <c r="BD165" s="10"/>
      <c r="BE165" s="10"/>
      <c r="BF165" s="10"/>
      <c r="BG165" s="10"/>
      <c r="BH165" s="10"/>
      <c r="BI165" s="10"/>
      <c r="BJ165" s="10"/>
      <c r="BK165" s="10"/>
      <c r="BL165" s="10"/>
      <c r="BM165" s="10"/>
      <c r="BN165" s="10"/>
      <c r="BO165" s="10"/>
      <c r="BP165" s="10"/>
      <c r="BQ165" s="10"/>
      <c r="BR165" s="10"/>
      <c r="BS165" s="10"/>
      <c r="BT165" s="10"/>
      <c r="BU165" s="10"/>
      <c r="BV165" s="10"/>
      <c r="BW165" s="10"/>
      <c r="BX165" s="15"/>
    </row>
    <row r="166" spans="1:76" x14ac:dyDescent="0.25">
      <c r="A166" s="16"/>
      <c r="B166" s="5" t="s">
        <v>396</v>
      </c>
      <c r="C166" s="11" t="s">
        <v>333</v>
      </c>
      <c r="D166" s="7">
        <v>271</v>
      </c>
      <c r="E166" s="8">
        <v>44911</v>
      </c>
      <c r="F166" s="9">
        <v>45182</v>
      </c>
      <c r="G166" s="10">
        <v>724764.22</v>
      </c>
      <c r="H166" s="11" t="s">
        <v>98</v>
      </c>
      <c r="I166" s="11"/>
      <c r="J166" s="12" t="s">
        <v>80</v>
      </c>
      <c r="K166" s="11" t="s">
        <v>206</v>
      </c>
      <c r="L166" s="11" t="s">
        <v>397</v>
      </c>
      <c r="M166" s="13">
        <v>0</v>
      </c>
      <c r="N166" s="10">
        <v>724764.22</v>
      </c>
      <c r="O166" s="14">
        <v>1</v>
      </c>
      <c r="P166" s="10">
        <v>0</v>
      </c>
      <c r="Q166" s="10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  <c r="AG166" s="10"/>
      <c r="AH166" s="10"/>
      <c r="AI166" s="10"/>
      <c r="AJ166" s="10"/>
      <c r="AK166" s="10"/>
      <c r="AL166" s="10"/>
      <c r="AM166" s="10"/>
      <c r="AN166" s="10"/>
      <c r="AO166" s="10"/>
      <c r="AP166" s="10"/>
      <c r="AQ166" s="10"/>
      <c r="AR166" s="10"/>
      <c r="AS166" s="10"/>
      <c r="AT166" s="10"/>
      <c r="AU166" s="10"/>
      <c r="AV166" s="10"/>
      <c r="AW166" s="10"/>
      <c r="AX166" s="10"/>
      <c r="AY166" s="10"/>
      <c r="AZ166" s="10"/>
      <c r="BA166" s="10"/>
      <c r="BB166" s="10"/>
      <c r="BC166" s="10"/>
      <c r="BD166" s="10"/>
      <c r="BE166" s="10"/>
      <c r="BF166" s="10"/>
      <c r="BG166" s="10"/>
      <c r="BH166" s="10"/>
      <c r="BI166" s="10"/>
      <c r="BJ166" s="10"/>
      <c r="BK166" s="10"/>
      <c r="BL166" s="10"/>
      <c r="BM166" s="10"/>
      <c r="BN166" s="10"/>
      <c r="BO166" s="10"/>
      <c r="BP166" s="10"/>
      <c r="BQ166" s="10"/>
      <c r="BR166" s="10"/>
      <c r="BS166" s="10"/>
      <c r="BT166" s="10"/>
      <c r="BU166" s="10"/>
      <c r="BV166" s="10"/>
      <c r="BW166" s="10"/>
      <c r="BX166" s="15"/>
    </row>
    <row r="167" spans="1:76" x14ac:dyDescent="0.25">
      <c r="A167" s="16"/>
      <c r="B167" s="5" t="s">
        <v>398</v>
      </c>
      <c r="C167" s="11" t="s">
        <v>333</v>
      </c>
      <c r="D167" s="7">
        <v>670</v>
      </c>
      <c r="E167" s="8">
        <v>44742</v>
      </c>
      <c r="F167" s="9">
        <v>45412</v>
      </c>
      <c r="G167" s="10">
        <v>1988555.07</v>
      </c>
      <c r="H167" s="11" t="s">
        <v>98</v>
      </c>
      <c r="I167" s="11"/>
      <c r="J167" s="12" t="s">
        <v>80</v>
      </c>
      <c r="K167" s="11" t="s">
        <v>157</v>
      </c>
      <c r="L167" s="11" t="s">
        <v>397</v>
      </c>
      <c r="M167" s="13">
        <v>0</v>
      </c>
      <c r="N167" s="10">
        <v>1932548.6300000004</v>
      </c>
      <c r="O167" s="14">
        <v>0.97183561026549814</v>
      </c>
      <c r="P167" s="10">
        <v>56006.439999999711</v>
      </c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  <c r="AG167" s="10"/>
      <c r="AH167" s="10"/>
      <c r="AI167" s="10"/>
      <c r="AJ167" s="10"/>
      <c r="AK167" s="10"/>
      <c r="AL167" s="10"/>
      <c r="AM167" s="10"/>
      <c r="AN167" s="10"/>
      <c r="AO167" s="10"/>
      <c r="AP167" s="10"/>
      <c r="AQ167" s="10"/>
      <c r="AR167" s="10"/>
      <c r="AS167" s="10"/>
      <c r="AT167" s="10"/>
      <c r="AU167" s="10"/>
      <c r="AV167" s="10"/>
      <c r="AW167" s="10"/>
      <c r="AX167" s="10"/>
      <c r="AY167" s="10"/>
      <c r="AZ167" s="10"/>
      <c r="BA167" s="10"/>
      <c r="BB167" s="10"/>
      <c r="BC167" s="10"/>
      <c r="BD167" s="10"/>
      <c r="BE167" s="10"/>
      <c r="BF167" s="10"/>
      <c r="BG167" s="10"/>
      <c r="BH167" s="10"/>
      <c r="BI167" s="10"/>
      <c r="BJ167" s="10"/>
      <c r="BK167" s="10"/>
      <c r="BL167" s="10"/>
      <c r="BM167" s="10"/>
      <c r="BN167" s="10"/>
      <c r="BO167" s="10"/>
      <c r="BP167" s="10"/>
      <c r="BQ167" s="10"/>
      <c r="BR167" s="10"/>
      <c r="BS167" s="10"/>
      <c r="BT167" s="10"/>
      <c r="BU167" s="10"/>
      <c r="BV167" s="10"/>
      <c r="BW167" s="10"/>
      <c r="BX167" s="15"/>
    </row>
    <row r="168" spans="1:76" x14ac:dyDescent="0.25">
      <c r="A168" s="22"/>
      <c r="B168" s="23" t="s">
        <v>399</v>
      </c>
      <c r="C168" s="24" t="s">
        <v>333</v>
      </c>
      <c r="D168" s="25">
        <v>544</v>
      </c>
      <c r="E168" s="26">
        <v>44772</v>
      </c>
      <c r="F168" s="27">
        <v>45316</v>
      </c>
      <c r="G168" s="28">
        <v>1690234.37</v>
      </c>
      <c r="H168" s="24" t="s">
        <v>98</v>
      </c>
      <c r="I168" s="24"/>
      <c r="J168" s="29" t="s">
        <v>80</v>
      </c>
      <c r="K168" s="24" t="s">
        <v>113</v>
      </c>
      <c r="L168" s="24" t="s">
        <v>397</v>
      </c>
      <c r="M168" s="30">
        <v>0</v>
      </c>
      <c r="N168" s="28">
        <v>1678310.1899999997</v>
      </c>
      <c r="O168" s="31">
        <v>0.99294525054534277</v>
      </c>
      <c r="P168" s="28">
        <v>11924.1800000004</v>
      </c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  <c r="AG168" s="28"/>
      <c r="AH168" s="28"/>
      <c r="AI168" s="28"/>
      <c r="AJ168" s="28"/>
      <c r="AK168" s="28"/>
      <c r="AL168" s="28"/>
      <c r="AM168" s="28"/>
      <c r="AN168" s="28"/>
      <c r="AO168" s="28"/>
      <c r="AP168" s="28"/>
      <c r="AQ168" s="28"/>
      <c r="AR168" s="28"/>
      <c r="AS168" s="28"/>
      <c r="AT168" s="28"/>
      <c r="AU168" s="28"/>
      <c r="AV168" s="28"/>
      <c r="AW168" s="28"/>
      <c r="AX168" s="28"/>
      <c r="AY168" s="28"/>
      <c r="AZ168" s="28"/>
      <c r="BA168" s="28"/>
      <c r="BB168" s="28"/>
      <c r="BC168" s="28"/>
      <c r="BD168" s="28"/>
      <c r="BE168" s="28"/>
      <c r="BF168" s="28"/>
      <c r="BG168" s="28"/>
      <c r="BH168" s="28"/>
      <c r="BI168" s="28"/>
      <c r="BJ168" s="28"/>
      <c r="BK168" s="28"/>
      <c r="BL168" s="28"/>
      <c r="BM168" s="28"/>
      <c r="BN168" s="28"/>
      <c r="BO168" s="28"/>
      <c r="BP168" s="28"/>
      <c r="BQ168" s="28"/>
      <c r="BR168" s="28"/>
      <c r="BS168" s="28"/>
      <c r="BT168" s="28"/>
      <c r="BU168" s="28"/>
      <c r="BV168" s="28"/>
      <c r="BW168" s="28"/>
      <c r="BX168" s="32"/>
    </row>
  </sheetData>
  <printOptions horizontalCentered="1" verticalCentered="1"/>
  <pageMargins left="0.15748031496062992" right="0.15748031496062992" top="0.27559055118110237" bottom="0.78740157480314965" header="0.15748031496062992" footer="0.31496062992125984"/>
  <pageSetup paperSize="8" scale="89" orientation="landscape" r:id="rId1"/>
  <headerFooter>
    <oddFooter>Página &amp;P de &amp;N</oddFooter>
  </headerFooter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Medições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Flavio</dc:creator>
  <cp:lastModifiedBy>Flavio</cp:lastModifiedBy>
  <dcterms:created xsi:type="dcterms:W3CDTF">2026-02-17T17:04:31Z</dcterms:created>
  <dcterms:modified xsi:type="dcterms:W3CDTF">2026-02-17T18:04:29Z</dcterms:modified>
</cp:coreProperties>
</file>