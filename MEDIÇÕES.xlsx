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APRENDIZADO APP\DER-MEDICOES\"/>
    </mc:Choice>
  </mc:AlternateContent>
  <xr:revisionPtr revIDLastSave="0" documentId="13_ncr:1_{F34523DB-DF97-4475-B977-EE8D157FA626}" xr6:coauthVersionLast="47" xr6:coauthVersionMax="47" xr10:uidLastSave="{00000000-0000-0000-0000-000000000000}"/>
  <bookViews>
    <workbookView xWindow="-28920" yWindow="-120" windowWidth="29040" windowHeight="15720" xr2:uid="{56152BF8-9B58-491A-9484-9CF756169AE9}"/>
  </bookViews>
  <sheets>
    <sheet name="Medições" sheetId="1" r:id="rId1"/>
  </sheets>
  <externalReferences>
    <externalReference r:id="rId2"/>
  </externalReferences>
  <definedNames>
    <definedName name="HELLO" comment="Returns a greeting">_xlfn.LAMBDA(_xlpm.name, _xldudf_BOARDFLARE_EXEC("hello",_xlpm.name))</definedName>
    <definedName name="RNG_COMISSAO">OFFSET([1]AUXILIAR!#REF!,0,0,COUNTA([1]AUXILIAR!#REF!)-1,1)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<sst xmlns="http://schemas.openxmlformats.org/spreadsheetml/2006/main" count="1207" uniqueCount="412">
  <si>
    <t>Nº</t>
  </si>
  <si>
    <t>SEI</t>
  </si>
  <si>
    <t>LOCAL</t>
  </si>
  <si>
    <t>PRAZO
EXECUÇÃO</t>
  </si>
  <si>
    <t>ORDEM
DE INÍCIO</t>
  </si>
  <si>
    <t>DATA FINAL</t>
  </si>
  <si>
    <t>VLR.CONTRATO
C/ADITIVO</t>
  </si>
  <si>
    <t>STATUS</t>
  </si>
  <si>
    <t>GESTOR</t>
  </si>
  <si>
    <t>REGIÃO</t>
  </si>
  <si>
    <t>MUNICIPIO</t>
  </si>
  <si>
    <t>CONTRATADA</t>
  </si>
  <si>
    <t>MEDIÇÕES 2025</t>
  </si>
  <si>
    <t>MEDIÇÕES
ACUMULADAS</t>
  </si>
  <si>
    <t>% EXEC.</t>
  </si>
  <si>
    <t>SALDO DO
CONTRATO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</si>
  <si>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</si>
  <si>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</si>
  <si>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</si>
  <si>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</si>
  <si>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</si>
  <si>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</si>
  <si>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</si>
  <si>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</si>
  <si>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</si>
  <si>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</si>
  <si>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</si>
  <si>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</si>
  <si>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</si>
  <si>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</si>
  <si>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</si>
  <si>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</si>
  <si>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</si>
  <si>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</si>
  <si>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</si>
  <si>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</si>
  <si>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</si>
  <si>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</si>
  <si>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</si>
  <si>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</si>
  <si>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</si>
  <si>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</si>
  <si>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</si>
  <si>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</si>
  <si>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</si>
  <si>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</si>
  <si>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</si>
  <si>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</si>
  <si>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</si>
  <si>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</si>
  <si>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</si>
  <si>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</si>
  <si>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</si>
  <si>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</si>
  <si>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</si>
  <si>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</si>
  <si>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</si>
  <si>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</si>
  <si>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</si>
  <si>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</si>
  <si>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</si>
  <si>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</si>
  <si>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</si>
  <si>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</si>
  <si>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</si>
  <si>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</si>
  <si>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</si>
  <si>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</si>
  <si>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</si>
  <si>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</si>
  <si>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</si>
  <si>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</si>
  <si>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</si>
  <si>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</si>
  <si>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</si>
  <si>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</si>
  <si>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330018/000053/2023</t>
  </si>
  <si>
    <t>CIVIS</t>
  </si>
  <si>
    <t>EXECUÇÃO</t>
  </si>
  <si>
    <t>JAQUELINE PASTÓRIO</t>
  </si>
  <si>
    <t>SL</t>
  </si>
  <si>
    <t>Barra Mansa</t>
  </si>
  <si>
    <t>ABRE CONST.</t>
  </si>
  <si>
    <t>330018/000695/2021</t>
  </si>
  <si>
    <t>ISADORA COSTA G. ROSALINO</t>
  </si>
  <si>
    <t>NT</t>
  </si>
  <si>
    <t>Campos dos Goytacazes</t>
  </si>
  <si>
    <t>ACA</t>
  </si>
  <si>
    <t>330018/001025/2021</t>
  </si>
  <si>
    <t>CARLOS FERNANDES</t>
  </si>
  <si>
    <t>BX</t>
  </si>
  <si>
    <t>Duque de Caxias</t>
  </si>
  <si>
    <t>330001/001080/2025</t>
  </si>
  <si>
    <t>Barra do Piraí</t>
  </si>
  <si>
    <t>AXIAL</t>
  </si>
  <si>
    <t>330001/001441/2024</t>
  </si>
  <si>
    <t>Mangaratiba</t>
  </si>
  <si>
    <t>330018/000190/2022</t>
  </si>
  <si>
    <t>CONCLUÍDA</t>
  </si>
  <si>
    <t>GISELLE GONÇALVES DA FONSECA</t>
  </si>
  <si>
    <t>BRASFORM</t>
  </si>
  <si>
    <t>330018/000568/2021</t>
  </si>
  <si>
    <t>LUIZ CARLOS DA SILVA FILHO</t>
  </si>
  <si>
    <t>Japeri</t>
  </si>
  <si>
    <t>CMAX</t>
  </si>
  <si>
    <t>330018/000567/2021</t>
  </si>
  <si>
    <t>330018/000697/2021</t>
  </si>
  <si>
    <t>Rio Claro</t>
  </si>
  <si>
    <t>330018/000699/2021</t>
  </si>
  <si>
    <t>330018/000737/2022</t>
  </si>
  <si>
    <t>Mendes</t>
  </si>
  <si>
    <t>CMHR</t>
  </si>
  <si>
    <t>330018/000931/2021</t>
  </si>
  <si>
    <t>Porto Real</t>
  </si>
  <si>
    <t>COMAL</t>
  </si>
  <si>
    <t>170026/002680/2021</t>
  </si>
  <si>
    <t>Quatis</t>
  </si>
  <si>
    <t>330018/000732/2021</t>
  </si>
  <si>
    <t>Resende</t>
  </si>
  <si>
    <t>330018/000052/2022</t>
  </si>
  <si>
    <t>NÃO CONCLUÍDA</t>
  </si>
  <si>
    <t>CONE ENGENHARIA</t>
  </si>
  <si>
    <t>330018/001070/2021</t>
  </si>
  <si>
    <t>São Francisco de Itabapoana</t>
  </si>
  <si>
    <t>CONPLAN</t>
  </si>
  <si>
    <t>330018/000658/2022</t>
  </si>
  <si>
    <t>JEHNIFFER PIRES DE SOUZA BERLAMINO</t>
  </si>
  <si>
    <t>São Sebastião do Alto</t>
  </si>
  <si>
    <t>330018/000696/2021</t>
  </si>
  <si>
    <t>CONS. NOVO MUNDO</t>
  </si>
  <si>
    <t>330018/000619/2021</t>
  </si>
  <si>
    <t>CONS.PARQUE SARAIVA</t>
  </si>
  <si>
    <t>170026/000538/2022</t>
  </si>
  <si>
    <t>Petrópolis</t>
  </si>
  <si>
    <t>CONSÓRCIO ECONORTE GEOSONDA - CASTELÃNEA - PETROPOLIS ( ECONORTE, MEIO AMBIENTE, INFRAESTRUTURA E SERVIÇO LTDA E GEOSONDA S/A)</t>
  </si>
  <si>
    <t>170026/002777/2021</t>
  </si>
  <si>
    <t>CONSÓRCIO SÃO JOSÉ HM ( HYDRA ENGENHARIA E SANEAMENTO LTDA E CONSTRUTORA MEDEIROS CARVALHO DE ALMEIDA LTDA)</t>
  </si>
  <si>
    <t>330018/000425/2022</t>
  </si>
  <si>
    <t>Paty do Alferes</t>
  </si>
  <si>
    <t>CONSORCIO VALPLAT CONSTRUCOES E START CONSULTORIA</t>
  </si>
  <si>
    <t>330018/000085/2022</t>
  </si>
  <si>
    <t>Itaperuna</t>
  </si>
  <si>
    <t>CONSTRUSAN</t>
  </si>
  <si>
    <t>330018/000227/2022</t>
  </si>
  <si>
    <t>CONSTRUTEC</t>
  </si>
  <si>
    <t>330018/001303/2022</t>
  </si>
  <si>
    <t>Nova Iguaçu</t>
  </si>
  <si>
    <t>330001/001282/2024</t>
  </si>
  <si>
    <t>Nilópolis</t>
  </si>
  <si>
    <t>CTESA</t>
  </si>
  <si>
    <t>330018/000480/2022</t>
  </si>
  <si>
    <t>São José de Ubá</t>
  </si>
  <si>
    <t>170026/002017/2021</t>
  </si>
  <si>
    <t>DE SÁ</t>
  </si>
  <si>
    <t>170026/000230/2022</t>
  </si>
  <si>
    <t>DRATEC</t>
  </si>
  <si>
    <t>460001/002050/2023</t>
  </si>
  <si>
    <t>Pinheiral</t>
  </si>
  <si>
    <t>ERWIL</t>
  </si>
  <si>
    <t>330001/001344/2025</t>
  </si>
  <si>
    <t>MT</t>
  </si>
  <si>
    <t>Rio de Janeiro</t>
  </si>
  <si>
    <t>FAB MIX</t>
  </si>
  <si>
    <t>330018/000066/2022</t>
  </si>
  <si>
    <t>Comendador Levy Gasparian</t>
  </si>
  <si>
    <t>FARO</t>
  </si>
  <si>
    <t>330018/000244/2022</t>
  </si>
  <si>
    <t>Valença</t>
  </si>
  <si>
    <t>330018/001380/2022</t>
  </si>
  <si>
    <t>Iguaba Grande</t>
  </si>
  <si>
    <t>FLUMINENSE</t>
  </si>
  <si>
    <t>170026/001611/2020</t>
  </si>
  <si>
    <t>GONÇALVES NEVES</t>
  </si>
  <si>
    <t>330018/000333/2022</t>
  </si>
  <si>
    <t>Magé</t>
  </si>
  <si>
    <t>GRAVISA</t>
  </si>
  <si>
    <t>170026/000772/2022</t>
  </si>
  <si>
    <t>Queimados</t>
  </si>
  <si>
    <t>GRUPO MACIEL</t>
  </si>
  <si>
    <t>330001/000715/2024</t>
  </si>
  <si>
    <t>H J RODRIGUES</t>
  </si>
  <si>
    <t>170026/000122/2022</t>
  </si>
  <si>
    <t>Paraíba do Sul</t>
  </si>
  <si>
    <t>330018/001015/2022</t>
  </si>
  <si>
    <t>330018/001076/2021</t>
  </si>
  <si>
    <t>HYDRA</t>
  </si>
  <si>
    <t>E-17/001/2008/2014</t>
  </si>
  <si>
    <t>330018/001315/2022</t>
  </si>
  <si>
    <t>330018/001054/2021</t>
  </si>
  <si>
    <t>330018/000694/2021</t>
  </si>
  <si>
    <t>IMBEG</t>
  </si>
  <si>
    <t>170026/001641/2021</t>
  </si>
  <si>
    <t>Rio das Flores</t>
  </si>
  <si>
    <t>JKN</t>
  </si>
  <si>
    <t>170026/001792/2021</t>
  </si>
  <si>
    <t>Teresópolis</t>
  </si>
  <si>
    <t>170026/002217/2021</t>
  </si>
  <si>
    <t>Macaé</t>
  </si>
  <si>
    <t>KROFMAN COMERCIO SERVIÇO EIRELI ME</t>
  </si>
  <si>
    <t>170026/003250/2021</t>
  </si>
  <si>
    <t>LYTORÂNEA</t>
  </si>
  <si>
    <t>330018/000930/2021</t>
  </si>
  <si>
    <t>Casimiro de Abreu</t>
  </si>
  <si>
    <t>460001/000821/2023</t>
  </si>
  <si>
    <t>170026/000318/2022</t>
  </si>
  <si>
    <t>330018/001440/2022</t>
  </si>
  <si>
    <t>Miguel Pereira</t>
  </si>
  <si>
    <t>330018/001141/2022</t>
  </si>
  <si>
    <t>330001/002122/2024</t>
  </si>
  <si>
    <t>330018/000843/2021</t>
  </si>
  <si>
    <t>São João de Meriti</t>
  </si>
  <si>
    <t>330018/001087/2021</t>
  </si>
  <si>
    <t>MACADAME</t>
  </si>
  <si>
    <t>330018/000156/2022</t>
  </si>
  <si>
    <t>MECANORTE</t>
  </si>
  <si>
    <t>170026/002043/2021</t>
  </si>
  <si>
    <t>METROPOLITANA</t>
  </si>
  <si>
    <t>330018/000630/2021</t>
  </si>
  <si>
    <t>Volta Redonda</t>
  </si>
  <si>
    <t>170026/001908/2021</t>
  </si>
  <si>
    <t>MIDAS</t>
  </si>
  <si>
    <t>330018/001363/2022</t>
  </si>
  <si>
    <t>MJRE</t>
  </si>
  <si>
    <t>330018/000711/2021</t>
  </si>
  <si>
    <t>330018/000730/2021</t>
  </si>
  <si>
    <t>MONJARDIM</t>
  </si>
  <si>
    <t>170026/001967/2021</t>
  </si>
  <si>
    <t>NF COMERCIO</t>
  </si>
  <si>
    <t>170026/003264/2021</t>
  </si>
  <si>
    <t>Araruama</t>
  </si>
  <si>
    <t>OMEGA</t>
  </si>
  <si>
    <t>330018/001041/2021</t>
  </si>
  <si>
    <t>460001/000827/2023</t>
  </si>
  <si>
    <t>330018/000107/2022</t>
  </si>
  <si>
    <t>ORIENTE</t>
  </si>
  <si>
    <t>330018/000530/2022</t>
  </si>
  <si>
    <t>170026/001772/2022</t>
  </si>
  <si>
    <t>Conceição de Macabu</t>
  </si>
  <si>
    <t>PETROPUMP</t>
  </si>
  <si>
    <t>170026/001837/2022</t>
  </si>
  <si>
    <t>330001/000538/2024</t>
  </si>
  <si>
    <t>PLENAPLAN</t>
  </si>
  <si>
    <t>460001/001990/2023</t>
  </si>
  <si>
    <t>Cardoso Moreira</t>
  </si>
  <si>
    <t>PREST RIO</t>
  </si>
  <si>
    <t>170026/002183/2021</t>
  </si>
  <si>
    <t>RC VIEIRA</t>
  </si>
  <si>
    <t>330001/001680/2024</t>
  </si>
  <si>
    <t>RITTA ENGENHARIA</t>
  </si>
  <si>
    <t>330018/000529/2022</t>
  </si>
  <si>
    <t>SANTA LUZIA</t>
  </si>
  <si>
    <t>330018/000569/2021</t>
  </si>
  <si>
    <t>330018/000681/2021</t>
  </si>
  <si>
    <t>170026/001548/2021</t>
  </si>
  <si>
    <t>SÃO JOÃO</t>
  </si>
  <si>
    <t>330018/000887/2022</t>
  </si>
  <si>
    <t>Belford Roxo</t>
  </si>
  <si>
    <t>SELL</t>
  </si>
  <si>
    <t>330018/001213/2022</t>
  </si>
  <si>
    <t>330018/000982/2021</t>
  </si>
  <si>
    <t>Nova Friburgo</t>
  </si>
  <si>
    <t>SOLOTESTE</t>
  </si>
  <si>
    <t>330018/000748/2022</t>
  </si>
  <si>
    <t>STATLED</t>
  </si>
  <si>
    <t>330018/001109/2022</t>
  </si>
  <si>
    <t>330018/001148/2022</t>
  </si>
  <si>
    <t>330018/000675/2022</t>
  </si>
  <si>
    <t>330018/001159/2022</t>
  </si>
  <si>
    <t>330018/001392/2022</t>
  </si>
  <si>
    <t>330018/001062/2022</t>
  </si>
  <si>
    <t>STATLED BRASIL</t>
  </si>
  <si>
    <t>330018/000960/2021</t>
  </si>
  <si>
    <t>VALLE SUL</t>
  </si>
  <si>
    <t>330018/001069/2021</t>
  </si>
  <si>
    <t>330018/000698/2021</t>
  </si>
  <si>
    <t>330018/000421/2023</t>
  </si>
  <si>
    <t>CONTINGENCIA</t>
  </si>
  <si>
    <t>ECONORTE</t>
  </si>
  <si>
    <t>330018/000245/2022</t>
  </si>
  <si>
    <t>Rio Bonito</t>
  </si>
  <si>
    <t>ENEX</t>
  </si>
  <si>
    <t>330001/001275/2024</t>
  </si>
  <si>
    <t>MARENGE ENGENHARIA CONSTRUCOES E SERVICOS LTDA</t>
  </si>
  <si>
    <t>330001/001217/2024</t>
  </si>
  <si>
    <t>MENDES KLABIN</t>
  </si>
  <si>
    <t>330001/001278/2024</t>
  </si>
  <si>
    <t>330001/001280/2024</t>
  </si>
  <si>
    <t>330001/001081/2025</t>
  </si>
  <si>
    <t>SUSPENSA</t>
  </si>
  <si>
    <t>SOLVE CONSULTORIA E PROJETOS LTDA</t>
  </si>
  <si>
    <t>E-17/001/219/2018</t>
  </si>
  <si>
    <t>Bom Jardim</t>
  </si>
  <si>
    <t>SOPE ENG.</t>
  </si>
  <si>
    <t>390005/000096/2021</t>
  </si>
  <si>
    <t>ESPECIAIS</t>
  </si>
  <si>
    <t>MARCUS</t>
  </si>
  <si>
    <t>ABBM BRAGA</t>
  </si>
  <si>
    <t>170026/001374/2022</t>
  </si>
  <si>
    <t>Angra dos Reis</t>
  </si>
  <si>
    <t>BARRA NOVA</t>
  </si>
  <si>
    <t>170026/000277/2021</t>
  </si>
  <si>
    <t>IGOR MARTINS CARNEIRO</t>
  </si>
  <si>
    <t>CARLETTI</t>
  </si>
  <si>
    <t>170026/000821/2021</t>
  </si>
  <si>
    <t>E-17/026/903/2019</t>
  </si>
  <si>
    <t>150001/012862/2022</t>
  </si>
  <si>
    <t>AIMAR HEVIA DO VALLE FILHO</t>
  </si>
  <si>
    <t>CONCREJATO</t>
  </si>
  <si>
    <t>330001/000097/2024</t>
  </si>
  <si>
    <t>ERICK HYLARIO SABADIN DA SILVA</t>
  </si>
  <si>
    <t>CONSÓRCIO COPACABANA R2X/TANGRAN (CONSTRUTORA R2X E TANGRAN ENGENHARIA)</t>
  </si>
  <si>
    <t>460001/001918/2023</t>
  </si>
  <si>
    <t>CONSORCIO FACHADA MIS R2X/TANGRAN (CONSTRUTORA R2X E TANGRAN ENGENHARIA)</t>
  </si>
  <si>
    <t>180007/000770/2022</t>
  </si>
  <si>
    <t>CONSTRUPOWER</t>
  </si>
  <si>
    <t>460001/000251/2023</t>
  </si>
  <si>
    <t>DRV ENG.</t>
  </si>
  <si>
    <t>170026/001228/2022</t>
  </si>
  <si>
    <t>460001/000779/2023</t>
  </si>
  <si>
    <t>ENGEPRAT</t>
  </si>
  <si>
    <t>330001/000247/2025</t>
  </si>
  <si>
    <t>170026/000233/2022</t>
  </si>
  <si>
    <t>MPE</t>
  </si>
  <si>
    <t>330001/000414/2024</t>
  </si>
  <si>
    <t>170026/001756/2021</t>
  </si>
  <si>
    <t>170026/001757/2021</t>
  </si>
  <si>
    <t>460001/000416/2023</t>
  </si>
  <si>
    <t>330018/000566/2021</t>
  </si>
  <si>
    <t>330018/000981/2021</t>
  </si>
  <si>
    <t>170026/003470/2021</t>
  </si>
  <si>
    <t>E-17/026/1514/2019</t>
  </si>
  <si>
    <t>VCE PROJETOS</t>
  </si>
  <si>
    <t>170026/001549/2020</t>
  </si>
  <si>
    <t>Fora do Radar</t>
  </si>
  <si>
    <t>330018/000423/2021</t>
  </si>
  <si>
    <t>330018/000424/2021</t>
  </si>
  <si>
    <t>170026/001229/2022</t>
  </si>
  <si>
    <t>170026/000549/2022</t>
  </si>
  <si>
    <t>E-17/026/1892/2019-1</t>
  </si>
  <si>
    <t>BIG FARM</t>
  </si>
  <si>
    <t>170026/001178/2021</t>
  </si>
  <si>
    <t>Engenheiro Paulo de Frontin</t>
  </si>
  <si>
    <t>COLONIA ARQUITETURA</t>
  </si>
  <si>
    <t>330018/001037/2021</t>
  </si>
  <si>
    <t>170026/001763/2021</t>
  </si>
  <si>
    <t>COMPASSS</t>
  </si>
  <si>
    <t>330001/001337/2025</t>
  </si>
  <si>
    <t>CONSÓRCIO EMERGÊNCIA QUITANDINHA (DRV ENGENHARIA - EIRELI e GEOLOGUS ENGENHARIA LTDA)</t>
  </si>
  <si>
    <t>170026/002128/2021</t>
  </si>
  <si>
    <t>CONST. AVENIDA</t>
  </si>
  <si>
    <t>170026/000539/2022</t>
  </si>
  <si>
    <t>CONST.SOLIDUM</t>
  </si>
  <si>
    <t>170026/001072/2022</t>
  </si>
  <si>
    <t>COORDENA</t>
  </si>
  <si>
    <t>330018/000235/2020</t>
  </si>
  <si>
    <t>Itaboraí</t>
  </si>
  <si>
    <t>CRATER</t>
  </si>
  <si>
    <t>170026/002018/2021</t>
  </si>
  <si>
    <t>170026/001231/2022</t>
  </si>
  <si>
    <t>170026/000548/2022</t>
  </si>
  <si>
    <t>170026/000537/2022</t>
  </si>
  <si>
    <t>330001/001345/2025</t>
  </si>
  <si>
    <t>E-17/026/1892/2019-2</t>
  </si>
  <si>
    <t>170026/000545/2022</t>
  </si>
  <si>
    <t>GEOLOGUS</t>
  </si>
  <si>
    <t>170026/000379/2022</t>
  </si>
  <si>
    <t>GEOMECANICA</t>
  </si>
  <si>
    <t>170026/001848/2022</t>
  </si>
  <si>
    <t>GEOSONDA</t>
  </si>
  <si>
    <t>330018/001071/2021</t>
  </si>
  <si>
    <t>330018/000221/2022</t>
  </si>
  <si>
    <t>330018/001108/2022</t>
  </si>
  <si>
    <t>330018/000580/2022</t>
  </si>
  <si>
    <t>MEDEIROS CIVIL</t>
  </si>
  <si>
    <t>330018/000559/2022</t>
  </si>
  <si>
    <t>São Pedro da Aldeia</t>
  </si>
  <si>
    <t>330018/001017/2021</t>
  </si>
  <si>
    <t>NOVACAP</t>
  </si>
  <si>
    <t>330018/000445/2023</t>
  </si>
  <si>
    <t>330018/000426/2021</t>
  </si>
  <si>
    <t>170026/000214/2022</t>
  </si>
  <si>
    <t>POMA</t>
  </si>
  <si>
    <t>170026/001812/2021</t>
  </si>
  <si>
    <t>PREMAG</t>
  </si>
  <si>
    <t>170026/001230/2022</t>
  </si>
  <si>
    <t>RIVALL ENG.</t>
  </si>
  <si>
    <t>170026/001865/2021</t>
  </si>
  <si>
    <t>330018/001077/2021</t>
  </si>
  <si>
    <t>330018/000712/2021</t>
  </si>
  <si>
    <t>E-17/001/81/2013</t>
  </si>
  <si>
    <t>SEVEME</t>
  </si>
  <si>
    <t>330018/001042/2021</t>
  </si>
  <si>
    <t>TOTAL CONST.</t>
  </si>
  <si>
    <t>170026/003834/2021</t>
  </si>
  <si>
    <t>Carmo</t>
  </si>
  <si>
    <t>VISION RIO</t>
  </si>
  <si>
    <t>170026/002388/2021</t>
  </si>
  <si>
    <t>WTE ENGENHARIA EIRELI</t>
  </si>
  <si>
    <t>170026/001303/2020</t>
  </si>
  <si>
    <t>170026/001868/2021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</si>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</sst>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&quot;R$&quot;\ * #,##0.00_-;_-&quot;R$&quot;\ * \-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3CC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337FF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0B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quotePrefix="1" applyNumberFormat="1" applyFont="1"/>
    <xf numFmtId="1" fontId="0" fillId="0" borderId="2" xfId="0" applyNumberFormat="1" applyBorder="1"/>
    <xf numFmtId="0" fontId="0" fillId="0" borderId="3" xfId="0" applyBorder="1"/>
    <xf numFmtId="49" fontId="2" fillId="3" borderId="4" xfId="0" applyNumberFormat="1" applyFont="1" applyFill="1" applyBorder="1"/>
    <xf numFmtId="1" fontId="0" fillId="0" borderId="4" xfId="0" applyNumberFormat="1" applyBorder="1" applyAlignment="1">
      <alignment horizontal="center"/>
    </xf>
    <xf numFmtId="14" fontId="0" fillId="0" borderId="4" xfId="0" applyNumberFormat="1" applyBorder="1"/>
    <xf numFmtId="14" fontId="0" fillId="4" borderId="4" xfId="0" applyNumberFormat="1" applyFill="1" applyBorder="1"/>
    <xf numFmtId="164" fontId="0" fillId="0" borderId="4" xfId="0" applyNumberFormat="1" applyBorder="1"/>
    <xf numFmtId="49" fontId="0" fillId="0" borderId="4" xfId="0" applyNumberFormat="1" applyBorder="1"/>
    <xf numFmtId="49" fontId="0" fillId="5" borderId="4" xfId="0" applyNumberFormat="1" applyFill="1" applyBorder="1"/>
    <xf numFmtId="164" fontId="0" fillId="4" borderId="4" xfId="0" applyNumberFormat="1" applyFill="1" applyBorder="1"/>
    <xf numFmtId="10" fontId="0" fillId="0" borderId="4" xfId="0" applyNumberFormat="1" applyBorder="1"/>
    <xf numFmtId="49" fontId="0" fillId="0" borderId="5" xfId="0" applyNumberFormat="1" applyBorder="1"/>
    <xf numFmtId="1" fontId="0" fillId="0" borderId="4" xfId="0" applyNumberFormat="1" applyBorder="1"/>
    <xf numFmtId="49" fontId="0" fillId="6" borderId="4" xfId="0" applyNumberFormat="1" applyFill="1" applyBorder="1"/>
    <xf numFmtId="49" fontId="0" fillId="7" borderId="4" xfId="0" applyNumberFormat="1" applyFill="1" applyBorder="1"/>
    <xf numFmtId="49" fontId="0" fillId="8" borderId="4" xfId="0" applyNumberFormat="1" applyFill="1" applyBorder="1"/>
    <xf numFmtId="49" fontId="2" fillId="9" borderId="4" xfId="0" applyNumberFormat="1" applyFont="1" applyFill="1" applyBorder="1"/>
    <xf numFmtId="49" fontId="2" fillId="10" borderId="4" xfId="0" applyNumberFormat="1" applyFont="1" applyFill="1" applyBorder="1"/>
    <xf numFmtId="1" fontId="0" fillId="0" borderId="6" xfId="0" applyNumberFormat="1" applyBorder="1"/>
    <xf numFmtId="0" fontId="0" fillId="0" borderId="7" xfId="0" applyBorder="1"/>
    <xf numFmtId="49" fontId="0" fillId="0" borderId="6" xfId="0" applyNumberFormat="1" applyBorder="1"/>
    <xf numFmtId="1" fontId="0" fillId="0" borderId="6" xfId="0" applyNumberFormat="1" applyBorder="1" applyAlignment="1">
      <alignment horizontal="center"/>
    </xf>
    <xf numFmtId="14" fontId="0" fillId="0" borderId="6" xfId="0" applyNumberFormat="1" applyBorder="1"/>
    <xf numFmtId="14" fontId="0" fillId="4" borderId="6" xfId="0" applyNumberFormat="1" applyFill="1" applyBorder="1"/>
    <xf numFmtId="164" fontId="0" fillId="0" borderId="6" xfId="0" applyNumberFormat="1" applyBorder="1"/>
    <xf numFmtId="49" fontId="0" fillId="5" borderId="6" xfId="0" applyNumberFormat="1" applyFill="1" applyBorder="1"/>
    <xf numFmtId="164" fontId="0" fillId="4" borderId="6" xfId="0" applyNumberFormat="1" applyFill="1" applyBorder="1"/>
    <xf numFmtId="10" fontId="0" fillId="0" borderId="6" xfId="0" applyNumberFormat="1" applyBorder="1"/>
    <xf numFmtId="49" fontId="0" fillId="0" borderId="8" xfId="0" applyNumberFormat="1" applyBorder="1"/>
    <xf numFmtId="44" fontId="3" fillId="0" borderId="0" xfId="1" quotePrefix="1" applyFont="1"/>
    <xf numFmtId="44" fontId="0" fillId="0" borderId="5" xfId="1" applyFont="1" applyBorder="1"/>
    <xf numFmtId="44" fontId="0" fillId="0" borderId="0" xfId="1" applyFont="1"/>
    <xf numFmtId="164" fontId="0" fillId="0" borderId="2" xfId="0" applyNumberFormat="1" applyBorder="1"/>
    <xf numFmtId="49" fontId="3" fillId="0" borderId="9" xfId="0" quotePrefix="1" applyNumberFormat="1" applyFont="1" applyFill="1" applyBorder="1" applyAlignment="1"/>
    <xf numFmtId="49" fontId="3" fillId="0" borderId="0" xfId="0" quotePrefix="1" applyNumberFormat="1" applyFont="1" applyFill="1" applyBorder="1" applyAlignment="1"/>
    <xf numFmtId="49" fontId="3" fillId="0" borderId="10" xfId="1" quotePrefix="1" applyNumberFormat="1" applyFont="1" applyFill="1" applyBorder="1" applyAlignment="1"/>
  </cellXfs>
  <cellStyles count="2">
    <cellStyle name="Moeda" xfId="1" builtinId="4"/>
    <cellStyle name="Normal" xfId="0" builtinId="0"/>
  </cellStyles>
  <dxfs count="91"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30" formatCode="@"/>
      <border diagonalUp="0" diagonalDown="0">
        <left style="thin">
          <color rgb="FF0070C0"/>
        </left>
        <right/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numFmt numFmtId="164" formatCode="_-&quot;R$&quot;\ * #,##0.00_-;_-&quot;R$&quot;\ * \-#,##0.00_-;_-&quot;R$&quot;\ * &quot;-&quot;??_-;_-@_-"/>
      <fill>
        <patternFill patternType="solid">
          <fgColor indexed="64"/>
          <bgColor rgb="FFD9E1F2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numFmt numFmtId="30" formatCode="@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numFmt numFmtId="30" formatCode="@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30" formatCode="@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30" formatCode="@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30" formatCode="@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164" formatCode="_-&quot;R$&quot;\ * #,##0.00_-;_-&quot;R$&quot;\ * \-#,##0.00_-;_-&quot;R$&quot;\ * &quot;-&quot;??_-;_-@_-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numFmt numFmtId="19" formatCode="dd/mm/yyyy"/>
      <fill>
        <patternFill patternType="solid">
          <fgColor indexed="64"/>
          <bgColor rgb="FFD9E1F2"/>
        </patternFill>
      </fill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numFmt numFmtId="19" formatCode="dd/mm/yyyy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numFmt numFmtId="30" formatCode="@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numFmt numFmtId="1" formatCode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medium">
          <color rgb="FF0070C0"/>
        </left>
        <right style="medium">
          <color rgb="FF0070C0"/>
        </right>
        <top style="medium">
          <color rgb="FF0070C0"/>
        </top>
        <bottom style="medium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none">
          <fgColor indexed="64"/>
          <bgColor rgb="FFE6F2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</dxfs>
  <tableStyles count="1" defaultTableStyle="TableStyleMedium2" defaultPivotStyle="PivotStyleLight16">
    <tableStyle name="Invisible" pivot="0" table="0" count="0" xr9:uid="{6B2EDCC3-7D47-4955-AB9F-48A9DF9CA8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MEDICOES.xlsm" TargetMode="External"/><Relationship Id="rId1" Type="http://schemas.openxmlformats.org/officeDocument/2006/relationships/externalLinkPath" Target="/Desktop/MEDICO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TICA"/>
      <sheetName val="BASE"/>
      <sheetName val="AUXILIAR"/>
      <sheetName val="Medições"/>
      <sheetName val="PROBLEMA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6704F-F6DE-410E-B44F-2C2F4F17089F}" name="Financeiro" displayName="Financeiro" ref="A2:CJ168" totalsRowShown="0" headerRowDxfId="90" tableBorderDxfId="89" totalsRowBorderDxfId="88">
  <autoFilter ref="A2:CJ168" xr:uid="{8AB3B578-2773-4E2D-975F-DA27809151D2}"/>
  <sortState xmlns:xlrd2="http://schemas.microsoft.com/office/spreadsheetml/2017/richdata2" ref="A3:BW168">
    <sortCondition ref="B2:B168"/>
  </sortState>
  <tableColumns count="88">
    <tableColumn id="76" xr3:uid="{A266B704-9A60-4C44-B1BC-BEDC4F668B27}" name="Nº" dataDxfId="87"/>
    <tableColumn id="1" xr3:uid="{03651AAF-2034-4979-AFCB-B5E6110B75DB}" name="SEI" dataDxfId="86"/>
    <tableColumn id="2" xr3:uid="{1AC04752-79A0-47F4-85A1-5AC51643A811}" name="LOCAL" dataDxfId="85"/>
    <tableColumn id="3" xr3:uid="{8CABF655-C15C-4E48-9514-435C7D577AD4}" name="PRAZO_x000a_EXECUÇÃO" dataDxfId="84"/>
    <tableColumn id="4" xr3:uid="{1F1CD60C-0B7F-4989-8CD6-3BC9E1009213}" name="ORDEM_x000a_DE INÍCIO" dataDxfId="83"/>
    <tableColumn id="5" xr3:uid="{9DA765F9-8594-4306-9AD9-47C47C23D21D}" name="DATA FINAL" dataDxfId="82"/>
    <tableColumn id="6" xr3:uid="{A12B462F-4262-45A9-969C-41A796C2BE78}" name="VLR.CONTRATO_x000a_C/ADITIVO" dataDxfId="81"/>
    <tableColumn id="7" xr3:uid="{C73A2493-CD4D-4C5A-A08F-2BCD27FCA88D}" name="STATUS" dataDxfId="80"/>
    <tableColumn id="8" xr3:uid="{50A6FB21-9086-4315-97B1-E1B17B453947}" name="GESTOR" dataDxfId="79"/>
    <tableColumn id="9" xr3:uid="{6E3546F9-DBF6-4EE2-9D82-58AF1B714E72}" name="REGIÃO" dataDxfId="78"/>
    <tableColumn id="10" xr3:uid="{20566611-997E-457D-BE39-442BF201CE7F}" name="MUNICIPIO" dataDxfId="77"/>
    <tableColumn id="11" xr3:uid="{6DFDA949-AAC5-44AC-907A-20E4F5542639}" name="CONTRATADA" dataDxfId="76"/>
    <tableColumn id="12" xr3:uid="{E18480E2-7DF5-4B18-9177-E685B384A0A7}" name="MEDIÇÕES 2025" dataDxfId="75"/>
    <tableColumn id="13" xr3:uid="{A00E890F-8399-4EBB-A365-C245C0D76289}" name="MEDIÇÕES_x000a_ACUMULADAS" dataDxfId="74"/>
    <tableColumn id="14" xr3:uid="{2427699D-D3E4-4769-BFC2-ADD58B7D3E54}" name="% EXEC." dataDxfId="73"/>
    <tableColumn id="15" xr3:uid="{4AEF10E9-FD39-4930-BD1D-6FE5C873561D}" name="SALDO DO_x000a_CONTRATO" dataDxfId="72"/>
    <tableColumn id="16" xr3:uid="{9D12E504-6A78-4A46-B8AA-B3BD3A956673}" name="JAN/21" dataDxfId="71"/>
    <tableColumn id="17" xr3:uid="{D22BDF60-AF2E-4FB1-AA68-CE33ACD76460}" name="FEV/21" dataDxfId="70"/>
    <tableColumn id="18" xr3:uid="{70DED9F4-6100-4123-883D-2918BBBCFFAB}" name="MAR/21" dataDxfId="69"/>
    <tableColumn id="19" xr3:uid="{E1D508BD-19ED-43BB-AC69-3F1932F7D938}" name="ABR/21" dataDxfId="68"/>
    <tableColumn id="20" xr3:uid="{E226CD32-F6E2-4F0A-9573-2314689C3D3A}" name="MAI/21" dataDxfId="67"/>
    <tableColumn id="21" xr3:uid="{808AFF31-84D5-4253-A517-8DE6C00CCFC6}" name="JUN/21" dataDxfId="66"/>
    <tableColumn id="22" xr3:uid="{B9BB8963-E930-4DEA-9308-7408BFC16E0C}" name="JUL/21" dataDxfId="65"/>
    <tableColumn id="23" xr3:uid="{8D7ADF9E-AD6E-4E65-81CF-647B05626398}" name="AGO/21" dataDxfId="64"/>
    <tableColumn id="24" xr3:uid="{D27BEB3A-22EF-4148-80BF-C0EB15439948}" name="SET/21" dataDxfId="63"/>
    <tableColumn id="25" xr3:uid="{D39DE8E3-3FD3-453A-8CCA-B593906BE310}" name="OUT/21" dataDxfId="62"/>
    <tableColumn id="26" xr3:uid="{AD097EF2-F171-4DE0-9DE9-CF82CFDF34E9}" name="NOV/21" dataDxfId="61"/>
    <tableColumn id="27" xr3:uid="{5D370E04-DAC4-40B1-B904-59F7E9FD9E1C}" name="DEZ/21" dataDxfId="60"/>
    <tableColumn id="28" xr3:uid="{20592D1D-9487-45B8-B8B8-4A05E7FEE241}" name="JAN/22" dataDxfId="59"/>
    <tableColumn id="29" xr3:uid="{C9812C68-D466-46B5-BA33-7F31C79D68F2}" name="FEV/22" dataDxfId="58"/>
    <tableColumn id="30" xr3:uid="{9BF8457F-8F83-4742-BFDF-770B9454ACD3}" name="MAR/22" dataDxfId="57"/>
    <tableColumn id="31" xr3:uid="{9FCFCEDC-4102-4409-AD49-37955F94ACE3}" name="ABR/22" dataDxfId="56"/>
    <tableColumn id="32" xr3:uid="{8064A6AE-91A2-4519-B88A-1D8E8E6778CF}" name="MAI/22" dataDxfId="55"/>
    <tableColumn id="33" xr3:uid="{E8CE4471-F023-4A1F-97EB-094C1434D364}" name="JUN/22" dataDxfId="54"/>
    <tableColumn id="34" xr3:uid="{326EF501-97EC-4991-B496-BC8E2EF10DBC}" name="JUL/22" dataDxfId="53"/>
    <tableColumn id="35" xr3:uid="{E75D2D09-F74D-4615-91A1-C87B0A954BD7}" name="AGO/22" dataDxfId="52"/>
    <tableColumn id="36" xr3:uid="{F5AC3B2C-5F92-477E-A7A5-0E159FE52074}" name="SET/22" dataDxfId="51"/>
    <tableColumn id="37" xr3:uid="{57DAF62E-7F0D-40A7-A5DD-20565AD276D0}" name="OUT/22" dataDxfId="50"/>
    <tableColumn id="38" xr3:uid="{3C321D64-624B-456D-A781-12CDA60AEC00}" name="NOV/22" dataDxfId="49"/>
    <tableColumn id="39" xr3:uid="{44CC1CBA-2E11-44F9-AB00-A99F261085DE}" name="DEZ/22" dataDxfId="48"/>
    <tableColumn id="40" xr3:uid="{7C45DF07-290C-4D76-86A4-6237B30B207F}" name="JAN/23" dataDxfId="47"/>
    <tableColumn id="41" xr3:uid="{0A2BA8C1-5BDF-434D-9255-D916CCCC2A03}" name="FEV/23" dataDxfId="46"/>
    <tableColumn id="42" xr3:uid="{16A84FA3-400A-4E51-98C8-A3EB65531C3C}" name="MAR/23" dataDxfId="45"/>
    <tableColumn id="43" xr3:uid="{5828C581-C95F-4F95-8EAE-BD8A8DBB9795}" name="ABR/23" dataDxfId="44"/>
    <tableColumn id="44" xr3:uid="{4636756C-49CE-47CE-B0C2-6B12D4AB98F3}" name="MAI/23" dataDxfId="43"/>
    <tableColumn id="45" xr3:uid="{A7C8FBD9-8243-46BB-BF88-8F97B10A6F7F}" name="JUN/23" dataDxfId="42"/>
    <tableColumn id="46" xr3:uid="{3602F624-CE96-4013-AE2F-E055447F1EC6}" name="JUL/23" dataDxfId="41"/>
    <tableColumn id="47" xr3:uid="{8C1296CC-F166-4CAD-8754-03A37C0C77B8}" name="AGO/23" dataDxfId="40"/>
    <tableColumn id="48" xr3:uid="{292483CB-B6D2-48AC-972A-2E44570FDF55}" name="SET/23" dataDxfId="39"/>
    <tableColumn id="49" xr3:uid="{D4E6D6C5-A9FE-487A-96B0-C812A3B8B560}" name="OUT/23" dataDxfId="38"/>
    <tableColumn id="50" xr3:uid="{A50AD4C6-47F0-4A7F-B7F0-C1E6B094BF46}" name="NOV/23" dataDxfId="37"/>
    <tableColumn id="51" xr3:uid="{86B6DC1F-54B6-4965-9235-0E054BCA0490}" name="DEZ/23" dataDxfId="36"/>
    <tableColumn id="52" xr3:uid="{EABB070E-A947-4F1C-B2D2-41414454D746}" name="JAN/24" dataDxfId="35"/>
    <tableColumn id="53" xr3:uid="{8BF4E443-C58E-4486-9E41-A612AABD2053}" name="FEV/24" dataDxfId="34"/>
    <tableColumn id="54" xr3:uid="{8FB0F1E4-C864-4970-A72E-FB32100EC13F}" name="MAR/24" dataDxfId="33"/>
    <tableColumn id="55" xr3:uid="{525C9C4A-02FE-4B51-BFE1-1C5B397787AF}" name="ABR/24" dataDxfId="32"/>
    <tableColumn id="56" xr3:uid="{9269BCAC-7EAD-4F34-982D-E7000D7428A4}" name="MAI/24" dataDxfId="31"/>
    <tableColumn id="57" xr3:uid="{244DAADC-580E-4E9D-A748-8373C12BC2E6}" name="JUN/24" dataDxfId="30"/>
    <tableColumn id="58" xr3:uid="{BD1409F1-D136-4352-820E-C70C71665B47}" name="JUL/24" dataDxfId="29"/>
    <tableColumn id="59" xr3:uid="{01F66802-42A7-4F5A-AAEC-A71CDC002BD8}" name="AGO/24" dataDxfId="28"/>
    <tableColumn id="60" xr3:uid="{0441C1E5-AC55-477D-9C4F-A05B4650AF71}" name="SET/24" dataDxfId="27"/>
    <tableColumn id="61" xr3:uid="{F65ACA26-E404-42CC-AC1F-9768A0F13A48}" name="OUT/24" dataDxfId="26"/>
    <tableColumn id="62" xr3:uid="{8611ED49-A2A6-4995-B54B-F2F3BAF4132C}" name="NOV/24" dataDxfId="25"/>
    <tableColumn id="63" xr3:uid="{D11D8641-E8DB-47D8-8ADC-FFC8A47FBC7B}" name="DEZ/24" dataDxfId="24"/>
    <tableColumn id="64" xr3:uid="{BA08A656-4477-4379-BF04-4B4DB1126A34}" name="JAN/25" dataDxfId="23"/>
    <tableColumn id="65" xr3:uid="{253D270C-A726-4E14-A061-B5D95DA4114A}" name="FEV/25" dataDxfId="22"/>
    <tableColumn id="66" xr3:uid="{4BFEB003-37B9-48A3-91A9-41D371616E0A}" name="MAR/25" dataDxfId="21"/>
    <tableColumn id="67" xr3:uid="{8B434ACD-283D-4F1A-A117-69075C9F6BE2}" name="ABR/25" dataDxfId="20"/>
    <tableColumn id="68" xr3:uid="{DF26B6DB-C911-4FC0-9D32-6B58BA7B805C}" name="MAI/25" dataDxfId="19"/>
    <tableColumn id="69" xr3:uid="{2117F07E-3026-4661-A04B-A81E7BE8122F}" name="JUN/25" dataDxfId="18"/>
    <tableColumn id="70" xr3:uid="{5E84EBCD-CCDB-4968-92DD-76AEDF05AFB2}" name="JUL/25" dataDxfId="17"/>
    <tableColumn id="71" xr3:uid="{A4DB40C1-A92B-40D7-8EA8-1CB8E2423542}" name="AGO/25" dataDxfId="16"/>
    <tableColumn id="72" xr3:uid="{61B1E890-7AA3-4A3F-A2F4-E8750D4B3985}" name="SET/25" dataDxfId="15"/>
    <tableColumn id="73" xr3:uid="{401C3219-D019-4B4A-BA33-6D89D0E50AFD}" name="OUT/25" dataDxfId="14"/>
    <tableColumn id="74" xr3:uid="{FE158E31-D6D5-4426-AD44-06649C628068}" name="NOV/25" dataDxfId="13"/>
    <tableColumn id="75" xr3:uid="{9BA5E780-C48A-400D-9E1B-DC3D25989B65}" name="DEZ/25" dataDxfId="12"/>
    <tableColumn id="77" xr3:uid="{659A97EC-0A4F-40BD-9EC3-946A9DAC6B73}" name="JAN/26" dataDxfId="11"/>
    <tableColumn id="78" xr3:uid="{0BBE5EE3-98C0-4F33-A382-5FDE86ED0536}" name="FEV/26" dataDxfId="10"/>
    <tableColumn id="79" xr3:uid="{44AA93C8-FCFD-4BCB-88C9-90C9C8D16175}" name="MAR/26" dataDxfId="9"/>
    <tableColumn id="80" xr3:uid="{6F86BEAD-2288-4442-A44D-5EEF9C016BCE}" name="ABR/26" dataDxfId="8"/>
    <tableColumn id="81" xr3:uid="{34FD041D-B7AC-4BD1-AA1F-8C33E8BBC126}" name="MAI/26" dataDxfId="7"/>
    <tableColumn id="82" xr3:uid="{124E7FCB-D3ED-4D90-BA72-AB8AA238CADB}" name="JUN/26" dataDxfId="6"/>
    <tableColumn id="83" xr3:uid="{5F3B39FB-BFE6-4FE4-BE12-A86F04A75AA7}" name="JUL/26" dataDxfId="5"/>
    <tableColumn id="84" xr3:uid="{F6464332-53B9-40F5-A139-FCA57961CCBE}" name="AGO/26" dataDxfId="4"/>
    <tableColumn id="85" xr3:uid="{78274C5B-ED16-4ACB-8DC0-DDE7475FC4BB}" name="SET/26" dataDxfId="3"/>
    <tableColumn id="86" xr3:uid="{4E748840-398D-40D9-B3BE-EFC478BB11AB}" name="OUT/26" dataDxfId="2"/>
    <tableColumn id="87" xr3:uid="{D5EF1077-DE36-4E40-81B0-EDF0C1942381}" name="NOV/26" dataDxfId="1"/>
    <tableColumn id="88" xr3:uid="{CD7DC3D6-CDF3-420C-8652-8B5317B5D65A}" name="DEZ/26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2F89-4FEF-4537-BCA6-14FD7BC179C1}">
  <sheetPr codeName="Planilha10"/>
  <dimension ref="A1:CJ168"/>
  <sheetViews>
    <sheetView tabSelected="1" topLeftCell="BM2" workbookViewId="0">
      <selection activeCell="CJ3" sqref="CJ3"/>
    </sheetView>
  </sheetViews>
  <sheetFormatPr defaultRowHeight="15" x14ac:dyDescent="0.25"/>
  <cols>
    <col min="1" max="1" width="4.28515625" customWidth="1"/>
    <col min="2" max="2" width="18.140625" customWidth="1"/>
    <col min="3" max="3" width="15.28515625" customWidth="1"/>
    <col min="4" max="4" width="11" customWidth="1"/>
    <col min="5" max="5" width="10.42578125" customWidth="1"/>
    <col min="6" max="6" width="10.7109375" customWidth="1"/>
    <col min="7" max="7" width="17.7109375" customWidth="1"/>
    <col min="8" max="8" width="10.5703125" customWidth="1"/>
    <col min="9" max="9" width="36" bestFit="1" customWidth="1"/>
    <col min="10" max="10" width="8.42578125" customWidth="1"/>
    <col min="11" max="11" width="26.28515625" customWidth="1"/>
    <col min="12" max="12" width="18.28515625" customWidth="1"/>
    <col min="13" max="13" width="16.42578125" customWidth="1"/>
    <col min="14" max="14" width="19" customWidth="1"/>
    <col min="15" max="15" width="8.5703125" customWidth="1"/>
    <col min="16" max="16" width="16.85546875" customWidth="1"/>
    <col min="17" max="17" width="9.140625" customWidth="1"/>
    <col min="18" max="18" width="9.85546875" customWidth="1"/>
    <col min="19" max="19" width="9.42578125" customWidth="1"/>
    <col min="20" max="20" width="14.28515625" customWidth="1"/>
    <col min="21" max="21" width="9.28515625" customWidth="1"/>
    <col min="22" max="22" width="16.85546875" customWidth="1"/>
    <col min="23" max="23" width="9.85546875" customWidth="1"/>
    <col min="24" max="24" width="15.85546875" customWidth="1"/>
    <col min="25" max="25" width="9.5703125" customWidth="1"/>
    <col min="26" max="26" width="9.85546875" customWidth="1"/>
    <col min="27" max="27" width="9.42578125" customWidth="1"/>
    <col min="28" max="29" width="15.85546875" customWidth="1"/>
    <col min="30" max="30" width="9.85546875" customWidth="1"/>
    <col min="31" max="31" width="9.42578125" customWidth="1"/>
    <col min="32" max="32" width="15.85546875" customWidth="1"/>
    <col min="33" max="33" width="9.28515625" customWidth="1"/>
    <col min="34" max="34" width="15.85546875" customWidth="1"/>
    <col min="35" max="35" width="9.85546875" customWidth="1"/>
    <col min="36" max="36" width="16.85546875" customWidth="1"/>
    <col min="37" max="37" width="9.5703125" customWidth="1"/>
    <col min="38" max="38" width="9.85546875" customWidth="1"/>
    <col min="39" max="39" width="9.42578125" customWidth="1"/>
    <col min="40" max="41" width="16.85546875" customWidth="1"/>
    <col min="42" max="42" width="9.85546875" customWidth="1"/>
    <col min="43" max="43" width="9.42578125" customWidth="1"/>
    <col min="44" max="44" width="15.85546875" customWidth="1"/>
    <col min="45" max="45" width="9.28515625" customWidth="1"/>
    <col min="46" max="46" width="16.85546875" customWidth="1"/>
    <col min="47" max="47" width="9.85546875" customWidth="1"/>
    <col min="48" max="48" width="15.85546875" customWidth="1"/>
    <col min="49" max="49" width="9.5703125" customWidth="1"/>
    <col min="50" max="50" width="9.85546875" customWidth="1"/>
    <col min="51" max="51" width="9.42578125" customWidth="1"/>
    <col min="52" max="53" width="15.85546875" customWidth="1"/>
    <col min="54" max="54" width="9.85546875" customWidth="1"/>
    <col min="55" max="55" width="9.42578125" customWidth="1"/>
    <col min="56" max="56" width="15.85546875" customWidth="1"/>
    <col min="57" max="57" width="9.28515625" customWidth="1"/>
    <col min="58" max="58" width="15.85546875" customWidth="1"/>
    <col min="59" max="59" width="9.85546875" customWidth="1"/>
    <col min="60" max="60" width="16.85546875" customWidth="1"/>
    <col min="61" max="61" width="9.5703125" customWidth="1"/>
    <col min="62" max="62" width="9.85546875" customWidth="1"/>
    <col min="63" max="63" width="9.42578125" customWidth="1"/>
    <col min="64" max="64" width="16.5703125" customWidth="1"/>
    <col min="65" max="65" width="15.85546875" customWidth="1"/>
    <col min="66" max="66" width="9.85546875" customWidth="1"/>
    <col min="67" max="67" width="9.42578125" customWidth="1"/>
    <col min="68" max="68" width="16.85546875" customWidth="1"/>
    <col min="69" max="69" width="9.28515625" customWidth="1"/>
    <col min="70" max="70" width="15.85546875" customWidth="1"/>
    <col min="71" max="71" width="9.85546875" customWidth="1"/>
    <col min="72" max="72" width="16.85546875" customWidth="1"/>
    <col min="73" max="73" width="9.5703125" customWidth="1"/>
    <col min="74" max="74" width="9.85546875" customWidth="1"/>
    <col min="75" max="75" width="9.42578125" customWidth="1"/>
    <col min="76" max="76" width="11" style="34" bestFit="1" customWidth="1"/>
  </cols>
  <sheetData>
    <row r="1" spans="1:88" hidden="1" x14ac:dyDescent="0.25">
      <c r="F1">
        <f>SUBTOTAL(103,Financeiro[STATUS])</f>
        <v>166</v>
      </c>
      <c r="BX1"/>
    </row>
    <row r="2" spans="1:88" ht="33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32" t="s">
        <v>75</v>
      </c>
      <c r="BY2" s="36" t="s">
        <v>400</v>
      </c>
      <c r="BZ2" s="37" t="s">
        <v>401</v>
      </c>
      <c r="CA2" s="37" t="s">
        <v>402</v>
      </c>
      <c r="CB2" s="37" t="s">
        <v>403</v>
      </c>
      <c r="CC2" s="37" t="s">
        <v>404</v>
      </c>
      <c r="CD2" s="37" t="s">
        <v>405</v>
      </c>
      <c r="CE2" s="37" t="s">
        <v>406</v>
      </c>
      <c r="CF2" s="37" t="s">
        <v>407</v>
      </c>
      <c r="CG2" s="37" t="s">
        <v>408</v>
      </c>
      <c r="CH2" s="37" t="s">
        <v>409</v>
      </c>
      <c r="CI2" s="37" t="s">
        <v>410</v>
      </c>
      <c r="CJ2" s="38" t="s">
        <v>411</v>
      </c>
    </row>
    <row r="3" spans="1:88" x14ac:dyDescent="0.25">
      <c r="A3" s="3">
        <v>1</v>
      </c>
      <c r="B3" s="4" t="s">
        <v>76</v>
      </c>
      <c r="C3" s="5" t="s">
        <v>77</v>
      </c>
      <c r="D3" s="6">
        <v>481</v>
      </c>
      <c r="E3" s="7">
        <v>45566</v>
      </c>
      <c r="F3" s="8">
        <v>46047</v>
      </c>
      <c r="G3" s="9">
        <v>36782151.810000002</v>
      </c>
      <c r="H3" s="10" t="s">
        <v>78</v>
      </c>
      <c r="I3" s="10" t="s">
        <v>79</v>
      </c>
      <c r="J3" s="11" t="s">
        <v>80</v>
      </c>
      <c r="K3" s="10" t="s">
        <v>81</v>
      </c>
      <c r="L3" s="10" t="s">
        <v>82</v>
      </c>
      <c r="M3" s="12">
        <v>16007674.959999999</v>
      </c>
      <c r="N3" s="9">
        <v>31106158.75</v>
      </c>
      <c r="O3" s="13">
        <v>0.84568621516980247</v>
      </c>
      <c r="P3" s="9">
        <v>5675993.0600000024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33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</row>
    <row r="4" spans="1:88" x14ac:dyDescent="0.25">
      <c r="A4" s="15">
        <v>2</v>
      </c>
      <c r="B4" s="4" t="s">
        <v>83</v>
      </c>
      <c r="C4" s="5" t="s">
        <v>77</v>
      </c>
      <c r="D4" s="6">
        <v>723</v>
      </c>
      <c r="E4" s="7">
        <v>45309</v>
      </c>
      <c r="F4" s="8">
        <v>46032</v>
      </c>
      <c r="G4" s="9">
        <v>31022838.120000001</v>
      </c>
      <c r="H4" s="10" t="s">
        <v>78</v>
      </c>
      <c r="I4" s="10" t="s">
        <v>84</v>
      </c>
      <c r="J4" s="16" t="s">
        <v>85</v>
      </c>
      <c r="K4" s="10" t="s">
        <v>86</v>
      </c>
      <c r="L4" s="10" t="s">
        <v>87</v>
      </c>
      <c r="M4" s="12">
        <v>8926135.790000001</v>
      </c>
      <c r="N4" s="9">
        <v>16018051.240000002</v>
      </c>
      <c r="O4" s="13">
        <v>0.51633094232192067</v>
      </c>
      <c r="P4" s="9">
        <v>15004786.879999999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33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</row>
    <row r="5" spans="1:88" x14ac:dyDescent="0.25">
      <c r="A5" s="15">
        <v>3</v>
      </c>
      <c r="B5" s="4" t="s">
        <v>88</v>
      </c>
      <c r="C5" s="5" t="s">
        <v>77</v>
      </c>
      <c r="D5" s="6">
        <v>1456</v>
      </c>
      <c r="E5" s="7">
        <v>44753</v>
      </c>
      <c r="F5" s="8">
        <v>46209</v>
      </c>
      <c r="G5" s="9">
        <v>51119038.920000002</v>
      </c>
      <c r="H5" s="10" t="s">
        <v>78</v>
      </c>
      <c r="I5" s="10" t="s">
        <v>89</v>
      </c>
      <c r="J5" s="17" t="s">
        <v>90</v>
      </c>
      <c r="K5" s="10" t="s">
        <v>91</v>
      </c>
      <c r="L5" s="10" t="s">
        <v>87</v>
      </c>
      <c r="M5" s="12">
        <v>1117858.23</v>
      </c>
      <c r="N5" s="9">
        <v>13076583.129999999</v>
      </c>
      <c r="O5" s="13">
        <v>0.25580651370352481</v>
      </c>
      <c r="P5" s="9">
        <v>38042455.790000007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33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</row>
    <row r="6" spans="1:88" x14ac:dyDescent="0.25">
      <c r="A6" s="15">
        <v>4</v>
      </c>
      <c r="B6" s="4" t="s">
        <v>92</v>
      </c>
      <c r="C6" s="5" t="s">
        <v>77</v>
      </c>
      <c r="D6" s="6">
        <v>360</v>
      </c>
      <c r="E6" s="7">
        <v>45868</v>
      </c>
      <c r="F6" s="8">
        <v>46228</v>
      </c>
      <c r="G6" s="9">
        <v>18990162.940000001</v>
      </c>
      <c r="H6" s="10" t="s">
        <v>78</v>
      </c>
      <c r="I6" s="10" t="s">
        <v>79</v>
      </c>
      <c r="J6" s="11" t="s">
        <v>80</v>
      </c>
      <c r="K6" s="10" t="s">
        <v>93</v>
      </c>
      <c r="L6" s="10" t="s">
        <v>94</v>
      </c>
      <c r="M6" s="12">
        <v>2683515.34</v>
      </c>
      <c r="N6" s="9">
        <v>2683515.34</v>
      </c>
      <c r="O6" s="13">
        <v>0.141310811733351</v>
      </c>
      <c r="P6" s="9">
        <v>16306647.600000001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33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</row>
    <row r="7" spans="1:88" x14ac:dyDescent="0.25">
      <c r="A7" s="15">
        <v>5</v>
      </c>
      <c r="B7" s="4" t="s">
        <v>95</v>
      </c>
      <c r="C7" s="5" t="s">
        <v>77</v>
      </c>
      <c r="D7" s="6">
        <v>195</v>
      </c>
      <c r="E7" s="7">
        <v>45972</v>
      </c>
      <c r="F7" s="8">
        <v>46167</v>
      </c>
      <c r="G7" s="9">
        <v>2069000</v>
      </c>
      <c r="H7" s="10" t="s">
        <v>78</v>
      </c>
      <c r="I7" s="10" t="s">
        <v>89</v>
      </c>
      <c r="J7" s="17" t="s">
        <v>90</v>
      </c>
      <c r="K7" s="10" t="s">
        <v>96</v>
      </c>
      <c r="L7" s="10" t="s">
        <v>94</v>
      </c>
      <c r="M7" s="12">
        <v>1127526.06</v>
      </c>
      <c r="N7" s="9">
        <v>1127526.06</v>
      </c>
      <c r="O7" s="13">
        <v>0.54496184630256161</v>
      </c>
      <c r="P7" s="9">
        <v>941473.94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33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</row>
    <row r="8" spans="1:88" x14ac:dyDescent="0.25">
      <c r="A8" s="15"/>
      <c r="B8" s="4" t="s">
        <v>97</v>
      </c>
      <c r="C8" s="5" t="s">
        <v>77</v>
      </c>
      <c r="D8" s="6">
        <v>692</v>
      </c>
      <c r="E8" s="7">
        <v>44868</v>
      </c>
      <c r="F8" s="8">
        <v>45560</v>
      </c>
      <c r="G8" s="9">
        <v>8396309.7599999998</v>
      </c>
      <c r="H8" s="10" t="s">
        <v>98</v>
      </c>
      <c r="I8" s="10" t="s">
        <v>99</v>
      </c>
      <c r="J8" s="17" t="s">
        <v>90</v>
      </c>
      <c r="K8" s="10" t="s">
        <v>91</v>
      </c>
      <c r="L8" s="10" t="s">
        <v>100</v>
      </c>
      <c r="M8" s="12">
        <v>0</v>
      </c>
      <c r="N8" s="9">
        <v>8394718.9999999981</v>
      </c>
      <c r="O8" s="13">
        <v>0.99981054057729268</v>
      </c>
      <c r="P8" s="9">
        <v>1590.7600000016391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14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</row>
    <row r="9" spans="1:88" x14ac:dyDescent="0.25">
      <c r="A9" s="15"/>
      <c r="B9" s="4" t="s">
        <v>101</v>
      </c>
      <c r="C9" s="5" t="s">
        <v>77</v>
      </c>
      <c r="D9" s="6">
        <v>781</v>
      </c>
      <c r="E9" s="7">
        <v>44707</v>
      </c>
      <c r="F9" s="8">
        <v>45488</v>
      </c>
      <c r="G9" s="9">
        <v>4374443.78</v>
      </c>
      <c r="H9" s="10" t="s">
        <v>98</v>
      </c>
      <c r="I9" s="10" t="s">
        <v>102</v>
      </c>
      <c r="J9" s="17" t="s">
        <v>90</v>
      </c>
      <c r="K9" s="10" t="s">
        <v>103</v>
      </c>
      <c r="L9" s="10" t="s">
        <v>104</v>
      </c>
      <c r="M9" s="12">
        <v>0</v>
      </c>
      <c r="N9" s="9">
        <v>4374443.7300000004</v>
      </c>
      <c r="O9" s="13">
        <v>0.99999998856997552</v>
      </c>
      <c r="P9" s="9">
        <v>4.9999999813735485E-2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14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</row>
    <row r="10" spans="1:88" x14ac:dyDescent="0.25">
      <c r="A10" s="15">
        <v>6</v>
      </c>
      <c r="B10" s="4" t="s">
        <v>105</v>
      </c>
      <c r="C10" s="5" t="s">
        <v>77</v>
      </c>
      <c r="D10" s="6">
        <v>1357</v>
      </c>
      <c r="E10" s="7">
        <v>44688</v>
      </c>
      <c r="F10" s="8">
        <v>46045</v>
      </c>
      <c r="G10" s="9">
        <v>8463890.9399999995</v>
      </c>
      <c r="H10" s="10" t="s">
        <v>78</v>
      </c>
      <c r="I10" s="10" t="s">
        <v>99</v>
      </c>
      <c r="J10" s="17" t="s">
        <v>90</v>
      </c>
      <c r="K10" s="10" t="s">
        <v>103</v>
      </c>
      <c r="L10" s="10" t="s">
        <v>104</v>
      </c>
      <c r="M10" s="12">
        <v>864919.94</v>
      </c>
      <c r="N10" s="9">
        <v>7322834.120000001</v>
      </c>
      <c r="O10" s="13">
        <v>0.86518531156782619</v>
      </c>
      <c r="P10" s="9">
        <v>1141056.8199999984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33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</row>
    <row r="11" spans="1:88" x14ac:dyDescent="0.25">
      <c r="A11" s="15"/>
      <c r="B11" s="4" t="s">
        <v>106</v>
      </c>
      <c r="C11" s="5" t="s">
        <v>77</v>
      </c>
      <c r="D11" s="6">
        <v>1206</v>
      </c>
      <c r="E11" s="7">
        <v>44683</v>
      </c>
      <c r="F11" s="8">
        <v>45889</v>
      </c>
      <c r="G11" s="9">
        <v>1741703.69</v>
      </c>
      <c r="H11" s="10" t="s">
        <v>98</v>
      </c>
      <c r="I11" s="10" t="s">
        <v>79</v>
      </c>
      <c r="J11" s="17" t="s">
        <v>90</v>
      </c>
      <c r="K11" s="10" t="s">
        <v>107</v>
      </c>
      <c r="L11" s="10" t="s">
        <v>104</v>
      </c>
      <c r="M11" s="12">
        <v>0</v>
      </c>
      <c r="N11" s="9">
        <v>1740561.7400000002</v>
      </c>
      <c r="O11" s="13">
        <v>0.9993443488656788</v>
      </c>
      <c r="P11" s="9">
        <v>1141.9499999997206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14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</row>
    <row r="12" spans="1:88" x14ac:dyDescent="0.25">
      <c r="A12" s="15">
        <v>7</v>
      </c>
      <c r="B12" s="4" t="s">
        <v>108</v>
      </c>
      <c r="C12" s="5" t="s">
        <v>77</v>
      </c>
      <c r="D12" s="6">
        <v>1388</v>
      </c>
      <c r="E12" s="7">
        <v>44655</v>
      </c>
      <c r="F12" s="8">
        <v>46043</v>
      </c>
      <c r="G12" s="9">
        <v>1351520.58</v>
      </c>
      <c r="H12" s="10" t="s">
        <v>78</v>
      </c>
      <c r="I12" s="10" t="s">
        <v>79</v>
      </c>
      <c r="J12" s="17" t="s">
        <v>90</v>
      </c>
      <c r="K12" s="10" t="s">
        <v>107</v>
      </c>
      <c r="L12" s="10" t="s">
        <v>104</v>
      </c>
      <c r="M12" s="12">
        <v>0</v>
      </c>
      <c r="N12" s="9">
        <v>1222003.4100000001</v>
      </c>
      <c r="O12" s="13">
        <v>0.90416929500252241</v>
      </c>
      <c r="P12" s="9">
        <v>129517.16999999993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33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</row>
    <row r="13" spans="1:88" x14ac:dyDescent="0.25">
      <c r="A13" s="15"/>
      <c r="B13" s="4" t="s">
        <v>109</v>
      </c>
      <c r="C13" s="5" t="s">
        <v>77</v>
      </c>
      <c r="D13" s="6">
        <v>206</v>
      </c>
      <c r="E13" s="7">
        <v>45360</v>
      </c>
      <c r="F13" s="8">
        <v>45566</v>
      </c>
      <c r="G13" s="9">
        <v>8811881.7799999993</v>
      </c>
      <c r="H13" s="10" t="s">
        <v>98</v>
      </c>
      <c r="I13" s="10" t="s">
        <v>89</v>
      </c>
      <c r="J13" s="11" t="s">
        <v>80</v>
      </c>
      <c r="K13" s="10" t="s">
        <v>110</v>
      </c>
      <c r="L13" s="10" t="s">
        <v>111</v>
      </c>
      <c r="M13" s="12">
        <v>0</v>
      </c>
      <c r="N13" s="9">
        <v>7104640.0500000007</v>
      </c>
      <c r="O13" s="13">
        <v>0.80625685039546691</v>
      </c>
      <c r="P13" s="9">
        <v>1707241.7299999986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14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</row>
    <row r="14" spans="1:88" x14ac:dyDescent="0.25">
      <c r="A14" s="15"/>
      <c r="B14" s="4" t="s">
        <v>112</v>
      </c>
      <c r="C14" s="5" t="s">
        <v>77</v>
      </c>
      <c r="D14" s="6">
        <v>814</v>
      </c>
      <c r="E14" s="7">
        <v>44746</v>
      </c>
      <c r="F14" s="8">
        <v>45560</v>
      </c>
      <c r="G14" s="9">
        <v>5272095.08</v>
      </c>
      <c r="H14" s="10" t="s">
        <v>98</v>
      </c>
      <c r="I14" s="10" t="s">
        <v>89</v>
      </c>
      <c r="J14" s="11" t="s">
        <v>80</v>
      </c>
      <c r="K14" s="10" t="s">
        <v>113</v>
      </c>
      <c r="L14" s="10" t="s">
        <v>114</v>
      </c>
      <c r="M14" s="12">
        <v>0</v>
      </c>
      <c r="N14" s="9">
        <v>5132338.3099999996</v>
      </c>
      <c r="O14" s="13">
        <v>0.9734912273243751</v>
      </c>
      <c r="P14" s="9">
        <v>139756.77000000048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14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</row>
    <row r="15" spans="1:88" x14ac:dyDescent="0.25">
      <c r="A15" s="15"/>
      <c r="B15" s="4" t="s">
        <v>115</v>
      </c>
      <c r="C15" s="5" t="s">
        <v>77</v>
      </c>
      <c r="D15" s="6">
        <v>567</v>
      </c>
      <c r="E15" s="7">
        <v>44918</v>
      </c>
      <c r="F15" s="8">
        <v>45485</v>
      </c>
      <c r="G15" s="9">
        <v>4645152.25</v>
      </c>
      <c r="H15" s="10" t="s">
        <v>98</v>
      </c>
      <c r="I15" s="10" t="s">
        <v>99</v>
      </c>
      <c r="J15" s="11" t="s">
        <v>80</v>
      </c>
      <c r="K15" s="10" t="s">
        <v>116</v>
      </c>
      <c r="L15" s="10" t="s">
        <v>114</v>
      </c>
      <c r="M15" s="12">
        <v>0</v>
      </c>
      <c r="N15" s="9">
        <v>4625557.4899999993</v>
      </c>
      <c r="O15" s="13">
        <v>0.99578167540148965</v>
      </c>
      <c r="P15" s="9">
        <v>19594.760000000708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14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</row>
    <row r="16" spans="1:88" x14ac:dyDescent="0.25">
      <c r="A16" s="15"/>
      <c r="B16" s="4" t="s">
        <v>117</v>
      </c>
      <c r="C16" s="5" t="s">
        <v>77</v>
      </c>
      <c r="D16" s="6">
        <v>844</v>
      </c>
      <c r="E16" s="7">
        <v>44663</v>
      </c>
      <c r="F16" s="8">
        <v>45507</v>
      </c>
      <c r="G16" s="9">
        <v>11046611.98</v>
      </c>
      <c r="H16" s="10" t="s">
        <v>98</v>
      </c>
      <c r="I16" s="10" t="s">
        <v>102</v>
      </c>
      <c r="J16" s="11" t="s">
        <v>80</v>
      </c>
      <c r="K16" s="10" t="s">
        <v>118</v>
      </c>
      <c r="L16" s="10" t="s">
        <v>114</v>
      </c>
      <c r="M16" s="12">
        <v>0</v>
      </c>
      <c r="N16" s="9">
        <v>10939879.359999998</v>
      </c>
      <c r="O16" s="13">
        <v>0.99033797691154146</v>
      </c>
      <c r="P16" s="9">
        <v>106732.62000000291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4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</row>
    <row r="17" spans="1:88" x14ac:dyDescent="0.25">
      <c r="A17" s="15"/>
      <c r="B17" s="4" t="s">
        <v>119</v>
      </c>
      <c r="C17" s="5" t="s">
        <v>77</v>
      </c>
      <c r="D17" s="6">
        <v>752</v>
      </c>
      <c r="E17" s="7">
        <v>44753</v>
      </c>
      <c r="F17" s="8">
        <v>45505</v>
      </c>
      <c r="G17" s="9">
        <v>30334596.91</v>
      </c>
      <c r="H17" s="10" t="s">
        <v>120</v>
      </c>
      <c r="I17" s="10" t="s">
        <v>89</v>
      </c>
      <c r="J17" s="17" t="s">
        <v>90</v>
      </c>
      <c r="K17" s="10" t="s">
        <v>91</v>
      </c>
      <c r="L17" s="10" t="s">
        <v>121</v>
      </c>
      <c r="M17" s="12">
        <v>0</v>
      </c>
      <c r="N17" s="9">
        <v>6171355.169999999</v>
      </c>
      <c r="O17" s="13">
        <v>0.20344279465159371</v>
      </c>
      <c r="P17" s="9">
        <v>24163241.740000002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4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</row>
    <row r="18" spans="1:88" x14ac:dyDescent="0.25">
      <c r="A18" s="15"/>
      <c r="B18" s="4" t="s">
        <v>122</v>
      </c>
      <c r="C18" s="5" t="s">
        <v>77</v>
      </c>
      <c r="D18" s="6">
        <v>572</v>
      </c>
      <c r="E18" s="7">
        <v>45261</v>
      </c>
      <c r="F18" s="8">
        <v>45833</v>
      </c>
      <c r="G18" s="9">
        <v>10061005.41</v>
      </c>
      <c r="H18" s="10" t="s">
        <v>98</v>
      </c>
      <c r="I18" s="10" t="s">
        <v>99</v>
      </c>
      <c r="J18" s="16" t="s">
        <v>85</v>
      </c>
      <c r="K18" s="10" t="s">
        <v>123</v>
      </c>
      <c r="L18" s="10" t="s">
        <v>124</v>
      </c>
      <c r="M18" s="12">
        <v>2214379.38</v>
      </c>
      <c r="N18" s="9">
        <v>10061305.059999999</v>
      </c>
      <c r="O18" s="13">
        <v>1</v>
      </c>
      <c r="P18" s="9">
        <v>-299.64999999850988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4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</row>
    <row r="19" spans="1:88" x14ac:dyDescent="0.25">
      <c r="A19" s="15">
        <v>8</v>
      </c>
      <c r="B19" s="4" t="s">
        <v>125</v>
      </c>
      <c r="C19" s="5" t="s">
        <v>77</v>
      </c>
      <c r="D19" s="6">
        <v>844</v>
      </c>
      <c r="E19" s="7">
        <v>45278</v>
      </c>
      <c r="F19" s="8">
        <v>46122</v>
      </c>
      <c r="G19" s="9">
        <v>3294597.99</v>
      </c>
      <c r="H19" s="10" t="s">
        <v>78</v>
      </c>
      <c r="I19" s="10" t="s">
        <v>126</v>
      </c>
      <c r="J19" s="16" t="s">
        <v>85</v>
      </c>
      <c r="K19" s="10" t="s">
        <v>127</v>
      </c>
      <c r="L19" s="10" t="s">
        <v>124</v>
      </c>
      <c r="M19" s="12">
        <v>730910.39999999991</v>
      </c>
      <c r="N19" s="9">
        <v>1038880.21</v>
      </c>
      <c r="O19" s="13">
        <v>0.31532836878832671</v>
      </c>
      <c r="P19" s="9">
        <v>2255717.7800000003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33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</row>
    <row r="20" spans="1:88" x14ac:dyDescent="0.25">
      <c r="A20" s="15">
        <v>9</v>
      </c>
      <c r="B20" s="4" t="s">
        <v>128</v>
      </c>
      <c r="C20" s="5" t="s">
        <v>77</v>
      </c>
      <c r="D20" s="6">
        <v>1261</v>
      </c>
      <c r="E20" s="7">
        <v>44883</v>
      </c>
      <c r="F20" s="8">
        <v>46144</v>
      </c>
      <c r="G20" s="9">
        <v>60543657.329999998</v>
      </c>
      <c r="H20" s="10" t="s">
        <v>78</v>
      </c>
      <c r="I20" s="10" t="s">
        <v>84</v>
      </c>
      <c r="J20" s="16" t="s">
        <v>85</v>
      </c>
      <c r="K20" s="10" t="s">
        <v>86</v>
      </c>
      <c r="L20" s="10" t="s">
        <v>129</v>
      </c>
      <c r="M20" s="12">
        <v>4610802.8600000003</v>
      </c>
      <c r="N20" s="9">
        <v>26345865.469999999</v>
      </c>
      <c r="O20" s="13">
        <v>0.43515483919973491</v>
      </c>
      <c r="P20" s="9">
        <v>34197791.859999999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33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</row>
    <row r="21" spans="1:88" x14ac:dyDescent="0.25">
      <c r="A21" s="15"/>
      <c r="B21" s="4" t="s">
        <v>130</v>
      </c>
      <c r="C21" s="5" t="s">
        <v>77</v>
      </c>
      <c r="D21" s="6">
        <v>1275</v>
      </c>
      <c r="E21" s="7">
        <v>44697</v>
      </c>
      <c r="F21" s="8">
        <v>45972</v>
      </c>
      <c r="G21" s="9">
        <v>32464769.579999998</v>
      </c>
      <c r="H21" s="10" t="s">
        <v>98</v>
      </c>
      <c r="I21" s="10" t="s">
        <v>84</v>
      </c>
      <c r="J21" s="16" t="s">
        <v>85</v>
      </c>
      <c r="K21" s="10" t="s">
        <v>86</v>
      </c>
      <c r="L21" s="10" t="s">
        <v>131</v>
      </c>
      <c r="M21" s="12">
        <v>5971037.2300000004</v>
      </c>
      <c r="N21" s="9">
        <v>32314427.699999999</v>
      </c>
      <c r="O21" s="13">
        <v>0.99536907601855829</v>
      </c>
      <c r="P21" s="9">
        <v>150341.87999999896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4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</row>
    <row r="22" spans="1:88" x14ac:dyDescent="0.25">
      <c r="A22" s="15"/>
      <c r="B22" s="4" t="s">
        <v>132</v>
      </c>
      <c r="C22" s="5" t="s">
        <v>77</v>
      </c>
      <c r="D22" s="6">
        <v>714</v>
      </c>
      <c r="E22" s="7">
        <v>44826</v>
      </c>
      <c r="F22" s="8">
        <v>45540</v>
      </c>
      <c r="G22" s="9">
        <v>30543662.309999999</v>
      </c>
      <c r="H22" s="10" t="s">
        <v>98</v>
      </c>
      <c r="I22" s="10" t="s">
        <v>89</v>
      </c>
      <c r="J22" s="16" t="s">
        <v>85</v>
      </c>
      <c r="K22" s="10" t="s">
        <v>133</v>
      </c>
      <c r="L22" s="10" t="s">
        <v>134</v>
      </c>
      <c r="M22" s="12">
        <v>0</v>
      </c>
      <c r="N22" s="9">
        <v>28044628.649999999</v>
      </c>
      <c r="O22" s="13">
        <v>0.91818159739207772</v>
      </c>
      <c r="P22" s="9">
        <v>2499033.66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4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</row>
    <row r="23" spans="1:88" x14ac:dyDescent="0.25">
      <c r="A23" s="15">
        <v>10</v>
      </c>
      <c r="B23" s="4" t="s">
        <v>135</v>
      </c>
      <c r="C23" s="5" t="s">
        <v>77</v>
      </c>
      <c r="D23" s="6">
        <v>729</v>
      </c>
      <c r="E23" s="7">
        <v>44708</v>
      </c>
      <c r="F23" s="8">
        <v>45437</v>
      </c>
      <c r="G23" s="9">
        <v>30477728.43</v>
      </c>
      <c r="H23" s="10" t="s">
        <v>78</v>
      </c>
      <c r="I23" s="10" t="s">
        <v>99</v>
      </c>
      <c r="J23" s="17" t="s">
        <v>90</v>
      </c>
      <c r="K23" s="10" t="s">
        <v>103</v>
      </c>
      <c r="L23" s="10" t="s">
        <v>136</v>
      </c>
      <c r="M23" s="12">
        <v>0</v>
      </c>
      <c r="N23" s="9">
        <v>12534756.699999999</v>
      </c>
      <c r="O23" s="13">
        <v>0.41127594954424884</v>
      </c>
      <c r="P23" s="9">
        <v>17942971.73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33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</row>
    <row r="24" spans="1:88" x14ac:dyDescent="0.25">
      <c r="A24" s="15"/>
      <c r="B24" s="4" t="s">
        <v>137</v>
      </c>
      <c r="C24" s="5" t="s">
        <v>77</v>
      </c>
      <c r="D24" s="6">
        <v>934</v>
      </c>
      <c r="E24" s="7">
        <v>44994</v>
      </c>
      <c r="F24" s="8">
        <v>45928</v>
      </c>
      <c r="G24" s="9">
        <v>17695067.23</v>
      </c>
      <c r="H24" s="10" t="s">
        <v>98</v>
      </c>
      <c r="I24" s="10" t="s">
        <v>99</v>
      </c>
      <c r="J24" s="11" t="s">
        <v>80</v>
      </c>
      <c r="K24" s="10" t="s">
        <v>138</v>
      </c>
      <c r="L24" s="10" t="s">
        <v>139</v>
      </c>
      <c r="M24" s="12">
        <v>3586965.9099999997</v>
      </c>
      <c r="N24" s="9">
        <v>17677149.640000001</v>
      </c>
      <c r="O24" s="13">
        <v>0.99898742458747913</v>
      </c>
      <c r="P24" s="9">
        <v>17917.589999999851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4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</row>
    <row r="25" spans="1:88" x14ac:dyDescent="0.25">
      <c r="A25" s="15">
        <v>11</v>
      </c>
      <c r="B25" s="4" t="s">
        <v>140</v>
      </c>
      <c r="C25" s="5" t="s">
        <v>77</v>
      </c>
      <c r="D25" s="6">
        <v>1325</v>
      </c>
      <c r="E25" s="7">
        <v>45035</v>
      </c>
      <c r="F25" s="8">
        <v>46360</v>
      </c>
      <c r="G25" s="9">
        <v>56189486.280000001</v>
      </c>
      <c r="H25" s="10" t="s">
        <v>78</v>
      </c>
      <c r="I25" s="10" t="s">
        <v>126</v>
      </c>
      <c r="J25" s="16" t="s">
        <v>85</v>
      </c>
      <c r="K25" s="10" t="s">
        <v>141</v>
      </c>
      <c r="L25" s="10" t="s">
        <v>142</v>
      </c>
      <c r="M25" s="12">
        <v>8765166.1600000001</v>
      </c>
      <c r="N25" s="9">
        <v>54515037.340000004</v>
      </c>
      <c r="O25" s="13">
        <v>0.97019995997728148</v>
      </c>
      <c r="P25" s="9">
        <v>1674448.9399999976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33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</row>
    <row r="26" spans="1:88" x14ac:dyDescent="0.25">
      <c r="A26" s="15"/>
      <c r="B26" s="4" t="s">
        <v>143</v>
      </c>
      <c r="C26" s="5" t="s">
        <v>77</v>
      </c>
      <c r="D26" s="6">
        <v>300</v>
      </c>
      <c r="E26" s="7">
        <v>44887</v>
      </c>
      <c r="F26" s="8">
        <v>45187</v>
      </c>
      <c r="G26" s="9">
        <v>47996411.380000003</v>
      </c>
      <c r="H26" s="10" t="s">
        <v>120</v>
      </c>
      <c r="I26" s="10" t="s">
        <v>89</v>
      </c>
      <c r="J26" s="17" t="s">
        <v>90</v>
      </c>
      <c r="K26" s="10" t="s">
        <v>91</v>
      </c>
      <c r="L26" s="10" t="s">
        <v>144</v>
      </c>
      <c r="M26" s="12">
        <v>0</v>
      </c>
      <c r="N26" s="9">
        <v>133579.45000000001</v>
      </c>
      <c r="O26" s="13">
        <v>0.27831132819997095</v>
      </c>
      <c r="P26" s="9">
        <v>47862831.93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4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</row>
    <row r="27" spans="1:88" x14ac:dyDescent="0.25">
      <c r="A27" s="15"/>
      <c r="B27" s="4" t="s">
        <v>145</v>
      </c>
      <c r="C27" s="5" t="s">
        <v>77</v>
      </c>
      <c r="D27" s="6">
        <v>754</v>
      </c>
      <c r="E27" s="7">
        <v>45247</v>
      </c>
      <c r="F27" s="8">
        <v>46001</v>
      </c>
      <c r="G27" s="9">
        <v>19451386.879999999</v>
      </c>
      <c r="H27" s="10" t="s">
        <v>98</v>
      </c>
      <c r="I27" s="10" t="s">
        <v>89</v>
      </c>
      <c r="J27" s="17" t="s">
        <v>90</v>
      </c>
      <c r="K27" s="10" t="s">
        <v>146</v>
      </c>
      <c r="L27" s="10" t="s">
        <v>144</v>
      </c>
      <c r="M27" s="12">
        <v>11451545.16</v>
      </c>
      <c r="N27" s="9">
        <v>19406169.390000001</v>
      </c>
      <c r="O27" s="13">
        <v>0.99767535907444771</v>
      </c>
      <c r="P27" s="9">
        <v>45217.489999998361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4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</row>
    <row r="28" spans="1:88" x14ac:dyDescent="0.25">
      <c r="A28" s="15">
        <v>12</v>
      </c>
      <c r="B28" s="4" t="s">
        <v>147</v>
      </c>
      <c r="C28" s="5" t="s">
        <v>77</v>
      </c>
      <c r="D28" s="6">
        <v>180</v>
      </c>
      <c r="E28" s="7">
        <v>46009</v>
      </c>
      <c r="F28" s="8">
        <v>46189</v>
      </c>
      <c r="G28" s="9">
        <v>4705907.3</v>
      </c>
      <c r="H28" s="10" t="s">
        <v>78</v>
      </c>
      <c r="I28" s="10" t="s">
        <v>99</v>
      </c>
      <c r="J28" s="17" t="s">
        <v>90</v>
      </c>
      <c r="K28" s="10" t="s">
        <v>148</v>
      </c>
      <c r="L28" s="10" t="s">
        <v>149</v>
      </c>
      <c r="M28" s="12">
        <v>0</v>
      </c>
      <c r="N28" s="9">
        <v>0</v>
      </c>
      <c r="O28" s="13">
        <v>0</v>
      </c>
      <c r="P28" s="9">
        <v>4705907.3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33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</row>
    <row r="29" spans="1:88" x14ac:dyDescent="0.25">
      <c r="A29" s="15"/>
      <c r="B29" s="4" t="s">
        <v>150</v>
      </c>
      <c r="C29" s="5" t="s">
        <v>77</v>
      </c>
      <c r="D29" s="6">
        <v>421</v>
      </c>
      <c r="E29" s="7">
        <v>45155</v>
      </c>
      <c r="F29" s="8">
        <v>45576</v>
      </c>
      <c r="G29" s="9">
        <v>4444784.22</v>
      </c>
      <c r="H29" s="10" t="s">
        <v>98</v>
      </c>
      <c r="I29" s="10" t="s">
        <v>89</v>
      </c>
      <c r="J29" s="16" t="s">
        <v>85</v>
      </c>
      <c r="K29" s="10" t="s">
        <v>151</v>
      </c>
      <c r="L29" s="10" t="s">
        <v>149</v>
      </c>
      <c r="M29" s="12">
        <v>0</v>
      </c>
      <c r="N29" s="9">
        <v>4324004.79</v>
      </c>
      <c r="O29" s="13">
        <v>0.9728267056347677</v>
      </c>
      <c r="P29" s="9">
        <v>120779.4299999997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14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</row>
    <row r="30" spans="1:88" x14ac:dyDescent="0.25">
      <c r="A30" s="15"/>
      <c r="B30" s="4" t="s">
        <v>152</v>
      </c>
      <c r="C30" s="5" t="s">
        <v>77</v>
      </c>
      <c r="D30" s="6">
        <v>997</v>
      </c>
      <c r="E30" s="7">
        <v>45026</v>
      </c>
      <c r="F30" s="8">
        <v>46023</v>
      </c>
      <c r="G30" s="9">
        <v>2755604.93</v>
      </c>
      <c r="H30" s="10" t="s">
        <v>98</v>
      </c>
      <c r="I30" s="10" t="s">
        <v>79</v>
      </c>
      <c r="J30" s="11" t="s">
        <v>80</v>
      </c>
      <c r="K30" s="10" t="s">
        <v>118</v>
      </c>
      <c r="L30" s="10" t="s">
        <v>153</v>
      </c>
      <c r="M30" s="12">
        <v>0</v>
      </c>
      <c r="N30" s="9">
        <v>2226331.4500000002</v>
      </c>
      <c r="O30" s="13">
        <v>0.80792838834121272</v>
      </c>
      <c r="P30" s="9">
        <v>529273.48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14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</row>
    <row r="31" spans="1:88" x14ac:dyDescent="0.25">
      <c r="A31" s="15"/>
      <c r="B31" s="4" t="s">
        <v>154</v>
      </c>
      <c r="C31" s="5" t="s">
        <v>77</v>
      </c>
      <c r="D31" s="6">
        <v>788</v>
      </c>
      <c r="E31" s="7">
        <v>44831</v>
      </c>
      <c r="F31" s="8">
        <v>45619</v>
      </c>
      <c r="G31" s="9">
        <v>58086688.759999998</v>
      </c>
      <c r="H31" s="10" t="s">
        <v>98</v>
      </c>
      <c r="I31" s="10" t="s">
        <v>89</v>
      </c>
      <c r="J31" s="17" t="s">
        <v>90</v>
      </c>
      <c r="K31" s="10" t="s">
        <v>146</v>
      </c>
      <c r="L31" s="10" t="s">
        <v>155</v>
      </c>
      <c r="M31" s="12">
        <v>0</v>
      </c>
      <c r="N31" s="9">
        <v>56408430.849999994</v>
      </c>
      <c r="O31" s="13">
        <v>0.97110770219775899</v>
      </c>
      <c r="P31" s="9">
        <v>1678257.9100000039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14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</row>
    <row r="32" spans="1:88" x14ac:dyDescent="0.25">
      <c r="A32" s="15">
        <v>13</v>
      </c>
      <c r="B32" s="4" t="s">
        <v>156</v>
      </c>
      <c r="C32" s="5" t="s">
        <v>77</v>
      </c>
      <c r="D32" s="6">
        <v>301</v>
      </c>
      <c r="E32" s="7">
        <v>45782</v>
      </c>
      <c r="F32" s="8">
        <v>46083</v>
      </c>
      <c r="G32" s="9">
        <v>2860442.12</v>
      </c>
      <c r="H32" s="10" t="s">
        <v>78</v>
      </c>
      <c r="I32" s="10" t="s">
        <v>79</v>
      </c>
      <c r="J32" s="11" t="s">
        <v>80</v>
      </c>
      <c r="K32" s="10" t="s">
        <v>157</v>
      </c>
      <c r="L32" s="10" t="s">
        <v>158</v>
      </c>
      <c r="M32" s="12">
        <v>1739254.2</v>
      </c>
      <c r="N32" s="9">
        <v>1739254.2</v>
      </c>
      <c r="O32" s="13">
        <v>0.71803684431831805</v>
      </c>
      <c r="P32" s="9">
        <v>1121187.9200000002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33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</row>
    <row r="33" spans="1:88" x14ac:dyDescent="0.25">
      <c r="A33" s="15">
        <v>14</v>
      </c>
      <c r="B33" s="4" t="s">
        <v>159</v>
      </c>
      <c r="C33" s="5" t="s">
        <v>77</v>
      </c>
      <c r="D33" s="6">
        <v>360</v>
      </c>
      <c r="E33" s="7">
        <v>45936</v>
      </c>
      <c r="F33" s="8">
        <v>46296</v>
      </c>
      <c r="G33" s="9">
        <v>7848019.5300000003</v>
      </c>
      <c r="H33" s="10" t="s">
        <v>78</v>
      </c>
      <c r="I33" s="10" t="s">
        <v>89</v>
      </c>
      <c r="J33" s="18" t="s">
        <v>160</v>
      </c>
      <c r="K33" s="10" t="s">
        <v>161</v>
      </c>
      <c r="L33" s="10" t="s">
        <v>162</v>
      </c>
      <c r="M33" s="12">
        <v>842876.36</v>
      </c>
      <c r="N33" s="9">
        <v>842876.36</v>
      </c>
      <c r="O33" s="13">
        <v>0.10739988054030747</v>
      </c>
      <c r="P33" s="9">
        <v>7005143.1699999999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33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</row>
    <row r="34" spans="1:88" x14ac:dyDescent="0.25">
      <c r="A34" s="15"/>
      <c r="B34" s="4" t="s">
        <v>163</v>
      </c>
      <c r="C34" s="5" t="s">
        <v>77</v>
      </c>
      <c r="D34" s="6">
        <v>612</v>
      </c>
      <c r="E34" s="7">
        <v>44873</v>
      </c>
      <c r="F34" s="8">
        <v>45485</v>
      </c>
      <c r="G34" s="9">
        <v>9751616.3699999992</v>
      </c>
      <c r="H34" s="10" t="s">
        <v>98</v>
      </c>
      <c r="I34" s="10" t="s">
        <v>102</v>
      </c>
      <c r="J34" s="11" t="s">
        <v>80</v>
      </c>
      <c r="K34" s="10" t="s">
        <v>164</v>
      </c>
      <c r="L34" s="10" t="s">
        <v>165</v>
      </c>
      <c r="M34" s="12">
        <v>0</v>
      </c>
      <c r="N34" s="9">
        <v>9661616.3699999973</v>
      </c>
      <c r="O34" s="13">
        <v>0.99077076080670279</v>
      </c>
      <c r="P34" s="9">
        <v>90000.000000001863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14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</row>
    <row r="35" spans="1:88" x14ac:dyDescent="0.25">
      <c r="A35" s="15"/>
      <c r="B35" s="4" t="s">
        <v>166</v>
      </c>
      <c r="C35" s="5" t="s">
        <v>77</v>
      </c>
      <c r="D35" s="6">
        <v>644</v>
      </c>
      <c r="E35" s="7">
        <v>44767</v>
      </c>
      <c r="F35" s="8">
        <v>45411</v>
      </c>
      <c r="G35" s="9">
        <v>13792679.789999999</v>
      </c>
      <c r="H35" s="10" t="s">
        <v>98</v>
      </c>
      <c r="I35" s="10" t="s">
        <v>84</v>
      </c>
      <c r="J35" s="11" t="s">
        <v>80</v>
      </c>
      <c r="K35" s="10" t="s">
        <v>167</v>
      </c>
      <c r="L35" s="10" t="s">
        <v>165</v>
      </c>
      <c r="M35" s="12">
        <v>0</v>
      </c>
      <c r="N35" s="9">
        <v>13792679.65</v>
      </c>
      <c r="O35" s="13">
        <v>0.9999999898496883</v>
      </c>
      <c r="P35" s="9">
        <v>0.1399999987334013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14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</row>
    <row r="36" spans="1:88" x14ac:dyDescent="0.25">
      <c r="A36" s="15">
        <v>15</v>
      </c>
      <c r="B36" s="4" t="s">
        <v>168</v>
      </c>
      <c r="C36" s="5" t="s">
        <v>77</v>
      </c>
      <c r="D36" s="6">
        <v>812</v>
      </c>
      <c r="E36" s="7">
        <v>45286</v>
      </c>
      <c r="F36" s="8">
        <v>46098</v>
      </c>
      <c r="G36" s="9">
        <v>7704834.9100000001</v>
      </c>
      <c r="H36" s="10" t="s">
        <v>78</v>
      </c>
      <c r="I36" s="10" t="s">
        <v>84</v>
      </c>
      <c r="J36" s="16" t="s">
        <v>85</v>
      </c>
      <c r="K36" s="10" t="s">
        <v>169</v>
      </c>
      <c r="L36" s="10" t="s">
        <v>170</v>
      </c>
      <c r="M36" s="12">
        <v>2588125.33</v>
      </c>
      <c r="N36" s="9">
        <v>6488132.9299999988</v>
      </c>
      <c r="O36" s="13">
        <v>0.84208591174083947</v>
      </c>
      <c r="P36" s="9">
        <v>1216701.9800000014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33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</row>
    <row r="37" spans="1:88" x14ac:dyDescent="0.25">
      <c r="A37" s="15"/>
      <c r="B37" s="4" t="s">
        <v>171</v>
      </c>
      <c r="C37" s="5" t="s">
        <v>77</v>
      </c>
      <c r="D37" s="6">
        <v>850</v>
      </c>
      <c r="E37" s="7">
        <v>44536</v>
      </c>
      <c r="F37" s="8">
        <v>45386</v>
      </c>
      <c r="G37" s="9">
        <v>3107538.75</v>
      </c>
      <c r="H37" s="10" t="s">
        <v>98</v>
      </c>
      <c r="I37" s="10" t="s">
        <v>99</v>
      </c>
      <c r="J37" s="17" t="s">
        <v>90</v>
      </c>
      <c r="K37" s="10" t="s">
        <v>96</v>
      </c>
      <c r="L37" s="10" t="s">
        <v>172</v>
      </c>
      <c r="M37" s="12">
        <v>0</v>
      </c>
      <c r="N37" s="9">
        <v>3034704.58</v>
      </c>
      <c r="O37" s="13">
        <v>0.97656210401237953</v>
      </c>
      <c r="P37" s="9">
        <v>72834.169999999925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14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</row>
    <row r="38" spans="1:88" x14ac:dyDescent="0.25">
      <c r="A38" s="15"/>
      <c r="B38" s="4" t="s">
        <v>173</v>
      </c>
      <c r="C38" s="5" t="s">
        <v>77</v>
      </c>
      <c r="D38" s="6">
        <v>664</v>
      </c>
      <c r="E38" s="7">
        <v>45105</v>
      </c>
      <c r="F38" s="8">
        <v>45769</v>
      </c>
      <c r="G38" s="9">
        <v>51359899.57</v>
      </c>
      <c r="H38" s="10" t="s">
        <v>120</v>
      </c>
      <c r="I38" s="10" t="s">
        <v>89</v>
      </c>
      <c r="J38" s="18" t="s">
        <v>160</v>
      </c>
      <c r="K38" s="10" t="s">
        <v>174</v>
      </c>
      <c r="L38" s="10" t="s">
        <v>175</v>
      </c>
      <c r="M38" s="12">
        <v>0</v>
      </c>
      <c r="N38" s="9">
        <v>41562191.240000002</v>
      </c>
      <c r="O38" s="13">
        <v>0.80923427786990898</v>
      </c>
      <c r="P38" s="9">
        <v>9797708.3299999982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14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</row>
    <row r="39" spans="1:88" x14ac:dyDescent="0.25">
      <c r="A39" s="15"/>
      <c r="B39" s="4" t="s">
        <v>176</v>
      </c>
      <c r="C39" s="5" t="s">
        <v>77</v>
      </c>
      <c r="D39" s="6">
        <v>608</v>
      </c>
      <c r="E39" s="7">
        <v>44923</v>
      </c>
      <c r="F39" s="8">
        <v>45531</v>
      </c>
      <c r="G39" s="9">
        <v>13242425.640000001</v>
      </c>
      <c r="H39" s="10" t="s">
        <v>98</v>
      </c>
      <c r="I39" s="10" t="s">
        <v>89</v>
      </c>
      <c r="J39" s="17" t="s">
        <v>90</v>
      </c>
      <c r="K39" s="10" t="s">
        <v>177</v>
      </c>
      <c r="L39" s="10" t="s">
        <v>178</v>
      </c>
      <c r="M39" s="12">
        <v>0</v>
      </c>
      <c r="N39" s="9">
        <v>13242495.840000004</v>
      </c>
      <c r="O39" s="13">
        <v>1</v>
      </c>
      <c r="P39" s="9">
        <v>-70.200000002980232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14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</row>
    <row r="40" spans="1:88" x14ac:dyDescent="0.25">
      <c r="A40" s="15"/>
      <c r="B40" s="4" t="s">
        <v>179</v>
      </c>
      <c r="C40" s="5" t="s">
        <v>77</v>
      </c>
      <c r="D40" s="6">
        <v>574</v>
      </c>
      <c r="E40" s="7">
        <v>45425</v>
      </c>
      <c r="F40" s="8">
        <v>45999</v>
      </c>
      <c r="G40" s="9">
        <v>7234583.7699999996</v>
      </c>
      <c r="H40" s="10" t="s">
        <v>98</v>
      </c>
      <c r="I40" s="10" t="s">
        <v>79</v>
      </c>
      <c r="J40" s="11" t="s">
        <v>80</v>
      </c>
      <c r="K40" s="10" t="s">
        <v>81</v>
      </c>
      <c r="L40" s="10" t="s">
        <v>180</v>
      </c>
      <c r="M40" s="12">
        <v>0</v>
      </c>
      <c r="N40" s="9">
        <v>6450491.3100000005</v>
      </c>
      <c r="O40" s="13">
        <v>0.89161885674039287</v>
      </c>
      <c r="P40" s="9">
        <v>784092.45999999903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14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</row>
    <row r="41" spans="1:88" x14ac:dyDescent="0.25">
      <c r="A41" s="15"/>
      <c r="B41" s="4" t="s">
        <v>181</v>
      </c>
      <c r="C41" s="5" t="s">
        <v>77</v>
      </c>
      <c r="D41" s="6">
        <v>646</v>
      </c>
      <c r="E41" s="7">
        <v>44831</v>
      </c>
      <c r="F41" s="8">
        <v>45477</v>
      </c>
      <c r="G41" s="9">
        <v>12560309.119999999</v>
      </c>
      <c r="H41" s="10" t="s">
        <v>98</v>
      </c>
      <c r="I41" s="10" t="s">
        <v>99</v>
      </c>
      <c r="J41" s="11" t="s">
        <v>80</v>
      </c>
      <c r="K41" s="10" t="s">
        <v>182</v>
      </c>
      <c r="L41" s="10" t="s">
        <v>180</v>
      </c>
      <c r="M41" s="12">
        <v>0</v>
      </c>
      <c r="N41" s="9">
        <v>11566431.390000001</v>
      </c>
      <c r="O41" s="13">
        <v>0.9208715549510299</v>
      </c>
      <c r="P41" s="9">
        <v>993877.72999999858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14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</row>
    <row r="42" spans="1:88" x14ac:dyDescent="0.25">
      <c r="A42" s="15"/>
      <c r="B42" s="4" t="s">
        <v>183</v>
      </c>
      <c r="C42" s="5" t="s">
        <v>77</v>
      </c>
      <c r="D42" s="6">
        <v>633</v>
      </c>
      <c r="E42" s="7">
        <v>44827</v>
      </c>
      <c r="F42" s="8">
        <v>45460</v>
      </c>
      <c r="G42" s="9">
        <v>22472818</v>
      </c>
      <c r="H42" s="10" t="s">
        <v>98</v>
      </c>
      <c r="I42" s="10" t="s">
        <v>99</v>
      </c>
      <c r="J42" s="11" t="s">
        <v>80</v>
      </c>
      <c r="K42" s="10" t="s">
        <v>167</v>
      </c>
      <c r="L42" s="10" t="s">
        <v>180</v>
      </c>
      <c r="M42" s="12">
        <v>0</v>
      </c>
      <c r="N42" s="9">
        <v>20500685.689999994</v>
      </c>
      <c r="O42" s="13">
        <v>0.91224365764898707</v>
      </c>
      <c r="P42" s="9">
        <v>1972132.3100000061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14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</row>
    <row r="43" spans="1:88" x14ac:dyDescent="0.25">
      <c r="A43" s="15"/>
      <c r="B43" s="4" t="s">
        <v>184</v>
      </c>
      <c r="C43" s="5" t="s">
        <v>77</v>
      </c>
      <c r="D43" s="6">
        <v>932</v>
      </c>
      <c r="E43" s="7">
        <v>44769</v>
      </c>
      <c r="F43" s="8">
        <v>45701</v>
      </c>
      <c r="G43" s="9">
        <v>45237596.810000002</v>
      </c>
      <c r="H43" s="10" t="s">
        <v>98</v>
      </c>
      <c r="I43" s="10" t="s">
        <v>99</v>
      </c>
      <c r="J43" s="17" t="s">
        <v>90</v>
      </c>
      <c r="K43" s="10" t="s">
        <v>91</v>
      </c>
      <c r="L43" s="10" t="s">
        <v>185</v>
      </c>
      <c r="M43" s="12">
        <v>0</v>
      </c>
      <c r="N43" s="9">
        <v>43785880.080000006</v>
      </c>
      <c r="O43" s="13">
        <v>0.96790906607843752</v>
      </c>
      <c r="P43" s="9">
        <v>1451716.7299999967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14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</row>
    <row r="44" spans="1:88" x14ac:dyDescent="0.25">
      <c r="A44" s="15"/>
      <c r="B44" s="4" t="s">
        <v>186</v>
      </c>
      <c r="C44" s="5" t="s">
        <v>77</v>
      </c>
      <c r="D44" s="6">
        <v>931</v>
      </c>
      <c r="E44" s="7">
        <v>44690</v>
      </c>
      <c r="F44" s="8">
        <v>45621</v>
      </c>
      <c r="G44" s="9">
        <v>34508101.149999999</v>
      </c>
      <c r="H44" s="10" t="s">
        <v>98</v>
      </c>
      <c r="I44" s="10" t="s">
        <v>89</v>
      </c>
      <c r="J44" s="17" t="s">
        <v>90</v>
      </c>
      <c r="K44" s="10" t="s">
        <v>146</v>
      </c>
      <c r="L44" s="10" t="s">
        <v>185</v>
      </c>
      <c r="M44" s="12">
        <v>0</v>
      </c>
      <c r="N44" s="9">
        <v>33048630.330000006</v>
      </c>
      <c r="O44" s="13">
        <v>0.9577064291756896</v>
      </c>
      <c r="P44" s="9">
        <v>1459470.8199999928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14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</row>
    <row r="45" spans="1:88" x14ac:dyDescent="0.25">
      <c r="A45" s="15"/>
      <c r="B45" s="4" t="s">
        <v>187</v>
      </c>
      <c r="C45" s="5" t="s">
        <v>77</v>
      </c>
      <c r="D45" s="6">
        <v>601</v>
      </c>
      <c r="E45" s="7">
        <v>45105</v>
      </c>
      <c r="F45" s="8">
        <v>45706</v>
      </c>
      <c r="G45" s="9">
        <v>11494433.26</v>
      </c>
      <c r="H45" s="10" t="s">
        <v>120</v>
      </c>
      <c r="I45" s="10" t="s">
        <v>99</v>
      </c>
      <c r="J45" s="17" t="s">
        <v>90</v>
      </c>
      <c r="K45" s="10" t="s">
        <v>146</v>
      </c>
      <c r="L45" s="10" t="s">
        <v>185</v>
      </c>
      <c r="M45" s="12">
        <v>0</v>
      </c>
      <c r="N45" s="9">
        <v>151308</v>
      </c>
      <c r="O45" s="13">
        <v>1.3163589415629874E-2</v>
      </c>
      <c r="P45" s="9">
        <v>11343125.26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14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</row>
    <row r="46" spans="1:88" x14ac:dyDescent="0.25">
      <c r="A46" s="15"/>
      <c r="B46" s="4" t="s">
        <v>188</v>
      </c>
      <c r="C46" s="5" t="s">
        <v>77</v>
      </c>
      <c r="D46" s="6">
        <v>812</v>
      </c>
      <c r="E46" s="7">
        <v>44754</v>
      </c>
      <c r="F46" s="8">
        <v>45566</v>
      </c>
      <c r="G46" s="9">
        <v>20185137.809999999</v>
      </c>
      <c r="H46" s="10" t="s">
        <v>98</v>
      </c>
      <c r="I46" s="10" t="s">
        <v>89</v>
      </c>
      <c r="J46" s="17" t="s">
        <v>90</v>
      </c>
      <c r="K46" s="10" t="s">
        <v>177</v>
      </c>
      <c r="L46" s="10" t="s">
        <v>185</v>
      </c>
      <c r="M46" s="12">
        <v>0</v>
      </c>
      <c r="N46" s="9">
        <v>13332401.599999998</v>
      </c>
      <c r="O46" s="13">
        <v>0.66050584967494941</v>
      </c>
      <c r="P46" s="9">
        <v>6852736.2100000009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14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</row>
    <row r="47" spans="1:88" x14ac:dyDescent="0.25">
      <c r="A47" s="15">
        <v>16</v>
      </c>
      <c r="B47" s="4" t="s">
        <v>189</v>
      </c>
      <c r="C47" s="5" t="s">
        <v>77</v>
      </c>
      <c r="D47" s="6">
        <v>1500</v>
      </c>
      <c r="E47" s="7">
        <v>44875</v>
      </c>
      <c r="F47" s="8">
        <v>46375</v>
      </c>
      <c r="G47" s="9">
        <v>48909556.350000001</v>
      </c>
      <c r="H47" s="10" t="s">
        <v>78</v>
      </c>
      <c r="I47" s="10" t="s">
        <v>84</v>
      </c>
      <c r="J47" s="16" t="s">
        <v>85</v>
      </c>
      <c r="K47" s="10" t="s">
        <v>86</v>
      </c>
      <c r="L47" s="10" t="s">
        <v>190</v>
      </c>
      <c r="M47" s="12">
        <v>10584628.26</v>
      </c>
      <c r="N47" s="9">
        <v>32294745.039999995</v>
      </c>
      <c r="O47" s="13">
        <v>0.66029519484692667</v>
      </c>
      <c r="P47" s="9">
        <v>16614811.310000006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33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</row>
    <row r="48" spans="1:88" x14ac:dyDescent="0.25">
      <c r="A48" s="15"/>
      <c r="B48" s="4" t="s">
        <v>191</v>
      </c>
      <c r="C48" s="5" t="s">
        <v>77</v>
      </c>
      <c r="D48" s="6">
        <v>863</v>
      </c>
      <c r="E48" s="7">
        <v>44827</v>
      </c>
      <c r="F48" s="8">
        <v>45690</v>
      </c>
      <c r="G48" s="9">
        <v>6478069.4299999997</v>
      </c>
      <c r="H48" s="10" t="s">
        <v>98</v>
      </c>
      <c r="I48" s="10" t="s">
        <v>99</v>
      </c>
      <c r="J48" s="11" t="s">
        <v>80</v>
      </c>
      <c r="K48" s="10" t="s">
        <v>192</v>
      </c>
      <c r="L48" s="10" t="s">
        <v>193</v>
      </c>
      <c r="M48" s="12">
        <v>0</v>
      </c>
      <c r="N48" s="9">
        <v>6523029.6600000001</v>
      </c>
      <c r="O48" s="13">
        <v>1</v>
      </c>
      <c r="P48" s="9">
        <v>-44960.230000000447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14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</row>
    <row r="49" spans="1:88" x14ac:dyDescent="0.25">
      <c r="A49" s="15"/>
      <c r="B49" s="4" t="s">
        <v>194</v>
      </c>
      <c r="C49" s="5" t="s">
        <v>77</v>
      </c>
      <c r="D49" s="6">
        <v>360</v>
      </c>
      <c r="E49" s="7">
        <v>44715</v>
      </c>
      <c r="F49" s="8">
        <v>45075</v>
      </c>
      <c r="G49" s="9">
        <v>6055289.3399999999</v>
      </c>
      <c r="H49" s="10" t="s">
        <v>98</v>
      </c>
      <c r="I49" s="10" t="s">
        <v>84</v>
      </c>
      <c r="J49" s="16" t="s">
        <v>85</v>
      </c>
      <c r="K49" s="10" t="s">
        <v>195</v>
      </c>
      <c r="L49" s="10" t="s">
        <v>193</v>
      </c>
      <c r="M49" s="12">
        <v>0</v>
      </c>
      <c r="N49" s="9">
        <v>6007931.0199999996</v>
      </c>
      <c r="O49" s="13">
        <v>0.9921790161723304</v>
      </c>
      <c r="P49" s="9">
        <v>47358.320000000298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14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</row>
    <row r="50" spans="1:88" x14ac:dyDescent="0.25">
      <c r="A50" s="15"/>
      <c r="B50" s="4" t="s">
        <v>196</v>
      </c>
      <c r="C50" s="5" t="s">
        <v>77</v>
      </c>
      <c r="D50" s="6">
        <v>762</v>
      </c>
      <c r="E50" s="7">
        <v>44727</v>
      </c>
      <c r="F50" s="8">
        <v>45489</v>
      </c>
      <c r="G50" s="9">
        <v>5722613.8700000001</v>
      </c>
      <c r="H50" s="10" t="s">
        <v>98</v>
      </c>
      <c r="I50" s="10" t="s">
        <v>89</v>
      </c>
      <c r="J50" s="16" t="s">
        <v>85</v>
      </c>
      <c r="K50" s="10" t="s">
        <v>197</v>
      </c>
      <c r="L50" s="10" t="s">
        <v>198</v>
      </c>
      <c r="M50" s="12">
        <v>0</v>
      </c>
      <c r="N50" s="9">
        <v>5551029.21</v>
      </c>
      <c r="O50" s="13">
        <v>0.97001638343982832</v>
      </c>
      <c r="P50" s="9">
        <v>171584.66000000015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14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</row>
    <row r="51" spans="1:88" x14ac:dyDescent="0.25">
      <c r="A51" s="15"/>
      <c r="B51" s="4" t="s">
        <v>199</v>
      </c>
      <c r="C51" s="5" t="s">
        <v>77</v>
      </c>
      <c r="D51" s="6">
        <v>571</v>
      </c>
      <c r="E51" s="7">
        <v>44777</v>
      </c>
      <c r="F51" s="8">
        <v>45348</v>
      </c>
      <c r="G51" s="9">
        <v>5581731.2999999998</v>
      </c>
      <c r="H51" s="10" t="s">
        <v>98</v>
      </c>
      <c r="I51" s="10" t="s">
        <v>89</v>
      </c>
      <c r="J51" s="11" t="s">
        <v>80</v>
      </c>
      <c r="K51" s="10" t="s">
        <v>81</v>
      </c>
      <c r="L51" s="10" t="s">
        <v>200</v>
      </c>
      <c r="M51" s="12">
        <v>0</v>
      </c>
      <c r="N51" s="9">
        <v>5580983.9399999995</v>
      </c>
      <c r="O51" s="13">
        <v>0.99986610605924353</v>
      </c>
      <c r="P51" s="9">
        <v>747.36000000033528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14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</row>
    <row r="52" spans="1:88" x14ac:dyDescent="0.25">
      <c r="A52" s="15"/>
      <c r="B52" s="4" t="s">
        <v>201</v>
      </c>
      <c r="C52" s="5" t="s">
        <v>77</v>
      </c>
      <c r="D52" s="6">
        <v>690</v>
      </c>
      <c r="E52" s="7">
        <v>44708</v>
      </c>
      <c r="F52" s="8">
        <v>45398</v>
      </c>
      <c r="G52" s="9">
        <v>13208831.359999999</v>
      </c>
      <c r="H52" s="10" t="s">
        <v>98</v>
      </c>
      <c r="I52" s="10" t="s">
        <v>99</v>
      </c>
      <c r="J52" s="16" t="s">
        <v>85</v>
      </c>
      <c r="K52" s="10" t="s">
        <v>202</v>
      </c>
      <c r="L52" s="10" t="s">
        <v>200</v>
      </c>
      <c r="M52" s="12">
        <v>0</v>
      </c>
      <c r="N52" s="9">
        <v>12032786.93</v>
      </c>
      <c r="O52" s="13">
        <v>0.91096529299621554</v>
      </c>
      <c r="P52" s="9">
        <v>1176044.4299999997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14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</row>
    <row r="53" spans="1:88" x14ac:dyDescent="0.25">
      <c r="A53" s="15">
        <v>17</v>
      </c>
      <c r="B53" s="4" t="s">
        <v>203</v>
      </c>
      <c r="C53" s="5" t="s">
        <v>77</v>
      </c>
      <c r="D53" s="6">
        <v>540</v>
      </c>
      <c r="E53" s="7">
        <v>45498</v>
      </c>
      <c r="F53" s="8">
        <v>46038</v>
      </c>
      <c r="G53" s="9">
        <v>113557951.65000001</v>
      </c>
      <c r="H53" s="10" t="s">
        <v>78</v>
      </c>
      <c r="I53" s="10" t="s">
        <v>89</v>
      </c>
      <c r="J53" s="17" t="s">
        <v>90</v>
      </c>
      <c r="K53" s="10" t="s">
        <v>91</v>
      </c>
      <c r="L53" s="10" t="s">
        <v>200</v>
      </c>
      <c r="M53" s="12">
        <v>65457023.329999991</v>
      </c>
      <c r="N53" s="9">
        <v>111124067.68000001</v>
      </c>
      <c r="O53" s="13">
        <v>0.97856703176980919</v>
      </c>
      <c r="P53" s="9">
        <v>2433883.9699999988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33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</row>
    <row r="54" spans="1:88" x14ac:dyDescent="0.25">
      <c r="A54" s="15">
        <v>18</v>
      </c>
      <c r="B54" s="4" t="s">
        <v>204</v>
      </c>
      <c r="C54" s="5" t="s">
        <v>77</v>
      </c>
      <c r="D54" s="6">
        <v>1266</v>
      </c>
      <c r="E54" s="7">
        <v>44742</v>
      </c>
      <c r="F54" s="8">
        <v>46008</v>
      </c>
      <c r="G54" s="9">
        <v>12950372.720000001</v>
      </c>
      <c r="H54" s="10" t="s">
        <v>78</v>
      </c>
      <c r="I54" s="10" t="s">
        <v>99</v>
      </c>
      <c r="J54" s="17" t="s">
        <v>90</v>
      </c>
      <c r="K54" s="10" t="s">
        <v>96</v>
      </c>
      <c r="L54" s="10" t="s">
        <v>200</v>
      </c>
      <c r="M54" s="12">
        <v>0</v>
      </c>
      <c r="N54" s="9">
        <v>8552770.9100000001</v>
      </c>
      <c r="O54" s="13">
        <v>0.6604266220686813</v>
      </c>
      <c r="P54" s="9">
        <v>4397601.8100000005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33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</row>
    <row r="55" spans="1:88" x14ac:dyDescent="0.25">
      <c r="A55" s="15">
        <v>19</v>
      </c>
      <c r="B55" s="4" t="s">
        <v>205</v>
      </c>
      <c r="C55" s="5" t="s">
        <v>77</v>
      </c>
      <c r="D55" s="6">
        <v>903</v>
      </c>
      <c r="E55" s="7">
        <v>45155</v>
      </c>
      <c r="F55" s="8">
        <v>46058</v>
      </c>
      <c r="G55" s="9">
        <v>34662990.030000001</v>
      </c>
      <c r="H55" s="10" t="s">
        <v>78</v>
      </c>
      <c r="I55" s="10" t="s">
        <v>99</v>
      </c>
      <c r="J55" s="11" t="s">
        <v>80</v>
      </c>
      <c r="K55" s="10" t="s">
        <v>206</v>
      </c>
      <c r="L55" s="10" t="s">
        <v>200</v>
      </c>
      <c r="M55" s="12">
        <v>17908038.489999998</v>
      </c>
      <c r="N55" s="9">
        <v>29783885.439999998</v>
      </c>
      <c r="O55" s="13">
        <v>0.85924166998354001</v>
      </c>
      <c r="P55" s="9">
        <v>4879104.5900000036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33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</row>
    <row r="56" spans="1:88" x14ac:dyDescent="0.25">
      <c r="A56" s="15"/>
      <c r="B56" s="4" t="s">
        <v>207</v>
      </c>
      <c r="C56" s="5" t="s">
        <v>77</v>
      </c>
      <c r="D56" s="6">
        <v>844</v>
      </c>
      <c r="E56" s="7">
        <v>45007</v>
      </c>
      <c r="F56" s="8">
        <v>45851</v>
      </c>
      <c r="G56" s="9">
        <v>20859068.440000001</v>
      </c>
      <c r="H56" s="10" t="s">
        <v>98</v>
      </c>
      <c r="I56" s="10" t="s">
        <v>99</v>
      </c>
      <c r="J56" s="17" t="s">
        <v>90</v>
      </c>
      <c r="K56" s="10" t="s">
        <v>177</v>
      </c>
      <c r="L56" s="10" t="s">
        <v>200</v>
      </c>
      <c r="M56" s="12">
        <v>1257033.71</v>
      </c>
      <c r="N56" s="9">
        <v>20859058.41</v>
      </c>
      <c r="O56" s="13">
        <v>0.99999951915398189</v>
      </c>
      <c r="P56" s="9">
        <v>10.030000001192093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14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</row>
    <row r="57" spans="1:88" x14ac:dyDescent="0.25">
      <c r="A57" s="15">
        <v>20</v>
      </c>
      <c r="B57" s="4" t="s">
        <v>208</v>
      </c>
      <c r="C57" s="5" t="s">
        <v>77</v>
      </c>
      <c r="D57" s="6">
        <v>301</v>
      </c>
      <c r="E57" s="7">
        <v>45865</v>
      </c>
      <c r="F57" s="8">
        <v>46166</v>
      </c>
      <c r="G57" s="9">
        <v>7430869.3200000003</v>
      </c>
      <c r="H57" s="10" t="s">
        <v>78</v>
      </c>
      <c r="I57" s="10" t="s">
        <v>89</v>
      </c>
      <c r="J57" s="17" t="s">
        <v>90</v>
      </c>
      <c r="K57" s="10" t="s">
        <v>177</v>
      </c>
      <c r="L57" s="10" t="s">
        <v>200</v>
      </c>
      <c r="M57" s="12">
        <v>122778.19</v>
      </c>
      <c r="N57" s="9">
        <v>122778.19</v>
      </c>
      <c r="O57" s="13">
        <v>1.6522722270131376E-2</v>
      </c>
      <c r="P57" s="9">
        <v>7308091.1299999999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33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</row>
    <row r="58" spans="1:88" x14ac:dyDescent="0.25">
      <c r="A58" s="15"/>
      <c r="B58" s="4" t="s">
        <v>209</v>
      </c>
      <c r="C58" s="5" t="s">
        <v>77</v>
      </c>
      <c r="D58" s="6">
        <v>1230</v>
      </c>
      <c r="E58" s="7">
        <v>44792</v>
      </c>
      <c r="F58" s="8">
        <v>46022</v>
      </c>
      <c r="G58" s="9">
        <v>81950979.230000004</v>
      </c>
      <c r="H58" s="10" t="s">
        <v>98</v>
      </c>
      <c r="I58" s="10" t="s">
        <v>99</v>
      </c>
      <c r="J58" s="17" t="s">
        <v>90</v>
      </c>
      <c r="K58" s="10" t="s">
        <v>210</v>
      </c>
      <c r="L58" s="10" t="s">
        <v>200</v>
      </c>
      <c r="M58" s="12">
        <v>14479558.67</v>
      </c>
      <c r="N58" s="9">
        <v>81959611.000000015</v>
      </c>
      <c r="O58" s="13">
        <v>1</v>
      </c>
      <c r="P58" s="9">
        <v>-8631.7700000107288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14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</row>
    <row r="59" spans="1:88" x14ac:dyDescent="0.25">
      <c r="A59" s="15"/>
      <c r="B59" s="4" t="s">
        <v>211</v>
      </c>
      <c r="C59" s="5" t="s">
        <v>77</v>
      </c>
      <c r="D59" s="6">
        <v>1220</v>
      </c>
      <c r="E59" s="7">
        <v>44733</v>
      </c>
      <c r="F59" s="8">
        <v>45953</v>
      </c>
      <c r="G59" s="9">
        <v>11551184.439999999</v>
      </c>
      <c r="H59" s="10" t="s">
        <v>98</v>
      </c>
      <c r="I59" s="10" t="s">
        <v>99</v>
      </c>
      <c r="J59" s="11" t="s">
        <v>80</v>
      </c>
      <c r="K59" s="10" t="s">
        <v>164</v>
      </c>
      <c r="L59" s="10" t="s">
        <v>212</v>
      </c>
      <c r="M59" s="12">
        <v>0</v>
      </c>
      <c r="N59" s="9">
        <v>11551184.42</v>
      </c>
      <c r="O59" s="13">
        <v>0.99999999826857588</v>
      </c>
      <c r="P59" s="9">
        <v>1.9999999552965164E-2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14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</row>
    <row r="60" spans="1:88" x14ac:dyDescent="0.25">
      <c r="A60" s="15"/>
      <c r="B60" s="4" t="s">
        <v>213</v>
      </c>
      <c r="C60" s="5" t="s">
        <v>77</v>
      </c>
      <c r="D60" s="6">
        <v>1236</v>
      </c>
      <c r="E60" s="7">
        <v>44763</v>
      </c>
      <c r="F60" s="8">
        <v>45999</v>
      </c>
      <c r="G60" s="9">
        <v>44149151.5</v>
      </c>
      <c r="H60" s="10" t="s">
        <v>98</v>
      </c>
      <c r="I60" s="10" t="s">
        <v>126</v>
      </c>
      <c r="J60" s="16" t="s">
        <v>85</v>
      </c>
      <c r="K60" s="10" t="s">
        <v>86</v>
      </c>
      <c r="L60" s="10" t="s">
        <v>214</v>
      </c>
      <c r="M60" s="12">
        <v>14120676.049999999</v>
      </c>
      <c r="N60" s="9">
        <v>41516316.780000001</v>
      </c>
      <c r="O60" s="13">
        <v>0.94036499840772703</v>
      </c>
      <c r="P60" s="9">
        <v>2632834.7199999988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14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</row>
    <row r="61" spans="1:88" x14ac:dyDescent="0.25">
      <c r="A61" s="15"/>
      <c r="B61" s="4" t="s">
        <v>215</v>
      </c>
      <c r="C61" s="5" t="s">
        <v>77</v>
      </c>
      <c r="D61" s="6">
        <v>721</v>
      </c>
      <c r="E61" s="7">
        <v>44789</v>
      </c>
      <c r="F61" s="8">
        <v>45510</v>
      </c>
      <c r="G61" s="9">
        <v>89008310.650000006</v>
      </c>
      <c r="H61" s="10" t="s">
        <v>120</v>
      </c>
      <c r="I61" s="10" t="s">
        <v>126</v>
      </c>
      <c r="J61" s="16" t="s">
        <v>85</v>
      </c>
      <c r="K61" s="10" t="s">
        <v>86</v>
      </c>
      <c r="L61" s="10" t="s">
        <v>216</v>
      </c>
      <c r="M61" s="12">
        <v>0</v>
      </c>
      <c r="N61" s="9">
        <v>64026819.339999996</v>
      </c>
      <c r="O61" s="13">
        <v>0.71933529433860788</v>
      </c>
      <c r="P61" s="9">
        <v>24981491.31000001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14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</row>
    <row r="62" spans="1:88" x14ac:dyDescent="0.25">
      <c r="A62" s="15">
        <v>21</v>
      </c>
      <c r="B62" s="4" t="s">
        <v>217</v>
      </c>
      <c r="C62" s="5" t="s">
        <v>77</v>
      </c>
      <c r="D62" s="6">
        <v>1547</v>
      </c>
      <c r="E62" s="7">
        <v>44623</v>
      </c>
      <c r="F62" s="8">
        <v>46170</v>
      </c>
      <c r="G62" s="9">
        <v>65678550.130000003</v>
      </c>
      <c r="H62" s="10" t="s">
        <v>78</v>
      </c>
      <c r="I62" s="10" t="s">
        <v>79</v>
      </c>
      <c r="J62" s="11" t="s">
        <v>80</v>
      </c>
      <c r="K62" s="10" t="s">
        <v>218</v>
      </c>
      <c r="L62" s="10" t="s">
        <v>216</v>
      </c>
      <c r="M62" s="12">
        <v>-748873.51</v>
      </c>
      <c r="N62" s="9">
        <v>23692547.440000001</v>
      </c>
      <c r="O62" s="13">
        <v>0.36073493390314582</v>
      </c>
      <c r="P62" s="9">
        <v>41986002.689999998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33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</row>
    <row r="63" spans="1:88" x14ac:dyDescent="0.25">
      <c r="A63" s="15"/>
      <c r="B63" s="4" t="s">
        <v>219</v>
      </c>
      <c r="C63" s="5" t="s">
        <v>77</v>
      </c>
      <c r="D63" s="6">
        <v>1001</v>
      </c>
      <c r="E63" s="7">
        <v>44722</v>
      </c>
      <c r="F63" s="8">
        <v>45723</v>
      </c>
      <c r="G63" s="9">
        <v>18264452.890000001</v>
      </c>
      <c r="H63" s="10" t="s">
        <v>98</v>
      </c>
      <c r="I63" s="10" t="s">
        <v>79</v>
      </c>
      <c r="J63" s="11" t="s">
        <v>80</v>
      </c>
      <c r="K63" s="10" t="s">
        <v>218</v>
      </c>
      <c r="L63" s="10" t="s">
        <v>220</v>
      </c>
      <c r="M63" s="12">
        <v>0</v>
      </c>
      <c r="N63" s="9">
        <v>18264452.889999997</v>
      </c>
      <c r="O63" s="13">
        <v>0.99999999999999989</v>
      </c>
      <c r="P63" s="9">
        <v>3.7252902984619141E-9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14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</row>
    <row r="64" spans="1:88" x14ac:dyDescent="0.25">
      <c r="A64" s="15"/>
      <c r="B64" s="4" t="s">
        <v>221</v>
      </c>
      <c r="C64" s="5" t="s">
        <v>77</v>
      </c>
      <c r="D64" s="6">
        <v>603</v>
      </c>
      <c r="E64" s="7">
        <v>44986</v>
      </c>
      <c r="F64" s="8">
        <v>45589</v>
      </c>
      <c r="G64" s="9">
        <v>90986818.170000002</v>
      </c>
      <c r="H64" s="10" t="s">
        <v>98</v>
      </c>
      <c r="I64" s="10" t="s">
        <v>99</v>
      </c>
      <c r="J64" s="17" t="s">
        <v>90</v>
      </c>
      <c r="K64" s="10" t="s">
        <v>91</v>
      </c>
      <c r="L64" s="10" t="s">
        <v>222</v>
      </c>
      <c r="M64" s="12">
        <v>0</v>
      </c>
      <c r="N64" s="9">
        <v>88995375.530000016</v>
      </c>
      <c r="O64" s="13">
        <v>0.97811284447512858</v>
      </c>
      <c r="P64" s="9">
        <v>1991442.6399999857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14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</row>
    <row r="65" spans="1:88" x14ac:dyDescent="0.25">
      <c r="A65" s="15"/>
      <c r="B65" s="4" t="s">
        <v>223</v>
      </c>
      <c r="C65" s="5" t="s">
        <v>77</v>
      </c>
      <c r="D65" s="6">
        <v>850</v>
      </c>
      <c r="E65" s="7">
        <v>44648</v>
      </c>
      <c r="F65" s="8">
        <v>45498</v>
      </c>
      <c r="G65" s="9">
        <v>36880209</v>
      </c>
      <c r="H65" s="10" t="s">
        <v>98</v>
      </c>
      <c r="I65" s="10" t="s">
        <v>89</v>
      </c>
      <c r="J65" s="17" t="s">
        <v>90</v>
      </c>
      <c r="K65" s="10" t="s">
        <v>148</v>
      </c>
      <c r="L65" s="10" t="s">
        <v>222</v>
      </c>
      <c r="M65" s="12">
        <v>0</v>
      </c>
      <c r="N65" s="9">
        <v>35196032.93</v>
      </c>
      <c r="O65" s="13">
        <v>0.95433387945279802</v>
      </c>
      <c r="P65" s="9">
        <v>1684176.0700000003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14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</row>
    <row r="66" spans="1:88" x14ac:dyDescent="0.25">
      <c r="A66" s="15"/>
      <c r="B66" s="4" t="s">
        <v>224</v>
      </c>
      <c r="C66" s="5" t="s">
        <v>77</v>
      </c>
      <c r="D66" s="6">
        <v>1086</v>
      </c>
      <c r="E66" s="7">
        <v>44697</v>
      </c>
      <c r="F66" s="8">
        <v>45783</v>
      </c>
      <c r="G66" s="9">
        <v>20229149.789999999</v>
      </c>
      <c r="H66" s="10" t="s">
        <v>98</v>
      </c>
      <c r="I66" s="10" t="s">
        <v>99</v>
      </c>
      <c r="J66" s="17" t="s">
        <v>90</v>
      </c>
      <c r="K66" s="10" t="s">
        <v>177</v>
      </c>
      <c r="L66" s="10" t="s">
        <v>225</v>
      </c>
      <c r="M66" s="12">
        <v>0</v>
      </c>
      <c r="N66" s="9">
        <v>19910338.670000002</v>
      </c>
      <c r="O66" s="13">
        <v>0.98424001387554128</v>
      </c>
      <c r="P66" s="9">
        <v>318811.11999999732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14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</row>
    <row r="67" spans="1:88" x14ac:dyDescent="0.25">
      <c r="A67" s="15"/>
      <c r="B67" s="4" t="s">
        <v>226</v>
      </c>
      <c r="C67" s="5" t="s">
        <v>77</v>
      </c>
      <c r="D67" s="6">
        <v>361</v>
      </c>
      <c r="E67" s="7">
        <v>45035</v>
      </c>
      <c r="F67" s="8">
        <v>45396</v>
      </c>
      <c r="G67" s="9">
        <v>2317778.2200000002</v>
      </c>
      <c r="H67" s="10" t="s">
        <v>120</v>
      </c>
      <c r="I67" s="10" t="s">
        <v>99</v>
      </c>
      <c r="J67" s="17" t="s">
        <v>90</v>
      </c>
      <c r="K67" s="10" t="s">
        <v>107</v>
      </c>
      <c r="L67" s="10" t="s">
        <v>227</v>
      </c>
      <c r="M67" s="12">
        <v>0</v>
      </c>
      <c r="N67" s="9">
        <v>56828.03</v>
      </c>
      <c r="O67" s="13">
        <v>2.451832082536352E-2</v>
      </c>
      <c r="P67" s="9">
        <v>2260950.1900000004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14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</row>
    <row r="68" spans="1:88" x14ac:dyDescent="0.25">
      <c r="A68" s="15"/>
      <c r="B68" s="4" t="s">
        <v>228</v>
      </c>
      <c r="C68" s="5" t="s">
        <v>77</v>
      </c>
      <c r="D68" s="6"/>
      <c r="E68" s="7">
        <v>45478</v>
      </c>
      <c r="F68" s="8">
        <v>45327</v>
      </c>
      <c r="G68" s="9">
        <v>4928388.09</v>
      </c>
      <c r="H68" s="10" t="s">
        <v>98</v>
      </c>
      <c r="I68" s="10" t="s">
        <v>84</v>
      </c>
      <c r="J68" s="16" t="s">
        <v>85</v>
      </c>
      <c r="K68" s="10" t="s">
        <v>229</v>
      </c>
      <c r="L68" s="10" t="s">
        <v>230</v>
      </c>
      <c r="M68" s="12">
        <v>0</v>
      </c>
      <c r="N68" s="9">
        <v>4928388.09</v>
      </c>
      <c r="O68" s="13">
        <v>1</v>
      </c>
      <c r="P68" s="9">
        <v>0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14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</row>
    <row r="69" spans="1:88" x14ac:dyDescent="0.25">
      <c r="A69" s="15">
        <v>22</v>
      </c>
      <c r="B69" s="4" t="s">
        <v>231</v>
      </c>
      <c r="C69" s="5" t="s">
        <v>77</v>
      </c>
      <c r="D69" s="6">
        <v>1324</v>
      </c>
      <c r="E69" s="7">
        <v>44753</v>
      </c>
      <c r="F69" s="8">
        <v>46077</v>
      </c>
      <c r="G69" s="9">
        <v>58032411.710000001</v>
      </c>
      <c r="H69" s="10" t="s">
        <v>78</v>
      </c>
      <c r="I69" s="10" t="s">
        <v>89</v>
      </c>
      <c r="J69" s="17" t="s">
        <v>90</v>
      </c>
      <c r="K69" s="10" t="s">
        <v>91</v>
      </c>
      <c r="L69" s="10" t="s">
        <v>230</v>
      </c>
      <c r="M69" s="12">
        <v>9076344.5100000016</v>
      </c>
      <c r="N69" s="9">
        <v>22442987.519999996</v>
      </c>
      <c r="O69" s="13">
        <v>0.38673194614334244</v>
      </c>
      <c r="P69" s="9">
        <v>35589424.190000005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33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</row>
    <row r="70" spans="1:88" x14ac:dyDescent="0.25">
      <c r="A70" s="15">
        <v>23</v>
      </c>
      <c r="B70" s="4" t="s">
        <v>232</v>
      </c>
      <c r="C70" s="5" t="s">
        <v>77</v>
      </c>
      <c r="D70" s="6">
        <v>540</v>
      </c>
      <c r="E70" s="7">
        <v>45503</v>
      </c>
      <c r="F70" s="8">
        <v>46043</v>
      </c>
      <c r="G70" s="9">
        <v>148784461.49000001</v>
      </c>
      <c r="H70" s="10" t="s">
        <v>78</v>
      </c>
      <c r="I70" s="10" t="s">
        <v>89</v>
      </c>
      <c r="J70" s="17" t="s">
        <v>90</v>
      </c>
      <c r="K70" s="10" t="s">
        <v>91</v>
      </c>
      <c r="L70" s="10" t="s">
        <v>230</v>
      </c>
      <c r="M70" s="12">
        <v>78082127.159999996</v>
      </c>
      <c r="N70" s="9">
        <v>147280622.62</v>
      </c>
      <c r="O70" s="13">
        <v>0.98989250050079258</v>
      </c>
      <c r="P70" s="9">
        <v>1503838.8700000048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33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</row>
    <row r="71" spans="1:88" x14ac:dyDescent="0.25">
      <c r="A71" s="15">
        <v>24</v>
      </c>
      <c r="B71" s="4" t="s">
        <v>233</v>
      </c>
      <c r="C71" s="5" t="s">
        <v>77</v>
      </c>
      <c r="D71" s="6">
        <v>1442</v>
      </c>
      <c r="E71" s="7">
        <v>44753</v>
      </c>
      <c r="F71" s="8">
        <v>46195</v>
      </c>
      <c r="G71" s="9">
        <v>54283415</v>
      </c>
      <c r="H71" s="10" t="s">
        <v>78</v>
      </c>
      <c r="I71" s="10" t="s">
        <v>89</v>
      </c>
      <c r="J71" s="17" t="s">
        <v>90</v>
      </c>
      <c r="K71" s="10" t="s">
        <v>91</v>
      </c>
      <c r="L71" s="10" t="s">
        <v>234</v>
      </c>
      <c r="M71" s="12">
        <v>0</v>
      </c>
      <c r="N71" s="9">
        <v>2045374.3900000001</v>
      </c>
      <c r="O71" s="13">
        <v>3.7679545216527E-2</v>
      </c>
      <c r="P71" s="9">
        <v>52238040.609999999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33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</row>
    <row r="72" spans="1:88" x14ac:dyDescent="0.25">
      <c r="A72" s="15">
        <v>25</v>
      </c>
      <c r="B72" s="4" t="s">
        <v>235</v>
      </c>
      <c r="C72" s="5" t="s">
        <v>77</v>
      </c>
      <c r="D72" s="6">
        <v>722</v>
      </c>
      <c r="E72" s="7">
        <v>45352</v>
      </c>
      <c r="F72" s="8">
        <v>46074</v>
      </c>
      <c r="G72" s="9">
        <v>45862409.689999998</v>
      </c>
      <c r="H72" s="10" t="s">
        <v>78</v>
      </c>
      <c r="I72" s="10" t="s">
        <v>99</v>
      </c>
      <c r="J72" s="17" t="s">
        <v>90</v>
      </c>
      <c r="K72" s="10" t="s">
        <v>146</v>
      </c>
      <c r="L72" s="10" t="s">
        <v>234</v>
      </c>
      <c r="M72" s="12">
        <v>23400418.18</v>
      </c>
      <c r="N72" s="9">
        <v>35796161.910000004</v>
      </c>
      <c r="O72" s="13">
        <v>0.78051201740071507</v>
      </c>
      <c r="P72" s="9">
        <v>10066247.779999994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33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</row>
    <row r="73" spans="1:88" x14ac:dyDescent="0.25">
      <c r="A73" s="15">
        <v>26</v>
      </c>
      <c r="B73" s="4" t="s">
        <v>236</v>
      </c>
      <c r="C73" s="5" t="s">
        <v>77</v>
      </c>
      <c r="D73" s="6">
        <v>934</v>
      </c>
      <c r="E73" s="7">
        <v>45133</v>
      </c>
      <c r="F73" s="8">
        <v>46067</v>
      </c>
      <c r="G73" s="9">
        <v>5158624.8899999997</v>
      </c>
      <c r="H73" s="10" t="s">
        <v>78</v>
      </c>
      <c r="I73" s="10" t="s">
        <v>84</v>
      </c>
      <c r="J73" s="16" t="s">
        <v>85</v>
      </c>
      <c r="K73" s="10" t="s">
        <v>237</v>
      </c>
      <c r="L73" s="10" t="s">
        <v>238</v>
      </c>
      <c r="M73" s="12">
        <v>2395066.71</v>
      </c>
      <c r="N73" s="9">
        <v>3584685.32</v>
      </c>
      <c r="O73" s="13">
        <v>0.69489164194685227</v>
      </c>
      <c r="P73" s="9">
        <v>1573939.5699999998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33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</row>
    <row r="74" spans="1:88" x14ac:dyDescent="0.25">
      <c r="A74" s="15"/>
      <c r="B74" s="4" t="s">
        <v>239</v>
      </c>
      <c r="C74" s="5" t="s">
        <v>77</v>
      </c>
      <c r="D74" s="6">
        <v>540</v>
      </c>
      <c r="E74" s="7">
        <v>45541</v>
      </c>
      <c r="F74" s="8">
        <v>46081</v>
      </c>
      <c r="G74" s="9">
        <v>27739392.32</v>
      </c>
      <c r="H74" s="10" t="s">
        <v>98</v>
      </c>
      <c r="I74" s="10" t="s">
        <v>99</v>
      </c>
      <c r="J74" s="11" t="s">
        <v>80</v>
      </c>
      <c r="K74" s="10" t="s">
        <v>206</v>
      </c>
      <c r="L74" s="10" t="s">
        <v>238</v>
      </c>
      <c r="M74" s="12">
        <v>1834508.63</v>
      </c>
      <c r="N74" s="9">
        <v>1940441.71</v>
      </c>
      <c r="O74" s="13">
        <v>6.995256736756085E-2</v>
      </c>
      <c r="P74" s="9">
        <v>25798950.609999999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14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</row>
    <row r="75" spans="1:88" x14ac:dyDescent="0.25">
      <c r="A75" s="15">
        <v>27</v>
      </c>
      <c r="B75" s="4" t="s">
        <v>240</v>
      </c>
      <c r="C75" s="5" t="s">
        <v>77</v>
      </c>
      <c r="D75" s="6">
        <v>540</v>
      </c>
      <c r="E75" s="7">
        <v>45566</v>
      </c>
      <c r="F75" s="8">
        <v>46106</v>
      </c>
      <c r="G75" s="9">
        <v>51414775.090000004</v>
      </c>
      <c r="H75" s="10" t="s">
        <v>78</v>
      </c>
      <c r="I75" s="10" t="s">
        <v>79</v>
      </c>
      <c r="J75" s="11" t="s">
        <v>80</v>
      </c>
      <c r="K75" s="10" t="s">
        <v>167</v>
      </c>
      <c r="L75" s="10" t="s">
        <v>241</v>
      </c>
      <c r="M75" s="12">
        <v>33221220.629999995</v>
      </c>
      <c r="N75" s="9">
        <v>45451420.479999997</v>
      </c>
      <c r="O75" s="13">
        <v>0.88401476813695412</v>
      </c>
      <c r="P75" s="9">
        <v>5963354.6100000069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33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</row>
    <row r="76" spans="1:88" x14ac:dyDescent="0.25">
      <c r="A76" s="15">
        <v>28</v>
      </c>
      <c r="B76" s="4" t="s">
        <v>242</v>
      </c>
      <c r="C76" s="5" t="s">
        <v>77</v>
      </c>
      <c r="D76" s="6">
        <v>482</v>
      </c>
      <c r="E76" s="7">
        <v>45624</v>
      </c>
      <c r="F76" s="8">
        <v>46106</v>
      </c>
      <c r="G76" s="9">
        <v>2601911.3199999998</v>
      </c>
      <c r="H76" s="10" t="s">
        <v>78</v>
      </c>
      <c r="I76" s="10" t="s">
        <v>126</v>
      </c>
      <c r="J76" s="16" t="s">
        <v>85</v>
      </c>
      <c r="K76" s="10" t="s">
        <v>243</v>
      </c>
      <c r="L76" s="10" t="s">
        <v>244</v>
      </c>
      <c r="M76" s="12">
        <v>2286082.54</v>
      </c>
      <c r="N76" s="9">
        <v>2286082.54</v>
      </c>
      <c r="O76" s="13">
        <v>0.87861662402852392</v>
      </c>
      <c r="P76" s="9">
        <v>315828.7799999998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33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</row>
    <row r="77" spans="1:88" x14ac:dyDescent="0.25">
      <c r="A77" s="15"/>
      <c r="B77" s="4" t="s">
        <v>245</v>
      </c>
      <c r="C77" s="5" t="s">
        <v>77</v>
      </c>
      <c r="D77" s="6">
        <v>847</v>
      </c>
      <c r="E77" s="7">
        <v>44637</v>
      </c>
      <c r="F77" s="8">
        <v>45484</v>
      </c>
      <c r="G77" s="9">
        <v>5361446.28</v>
      </c>
      <c r="H77" s="10" t="s">
        <v>98</v>
      </c>
      <c r="I77" s="10" t="s">
        <v>84</v>
      </c>
      <c r="J77" s="16" t="s">
        <v>85</v>
      </c>
      <c r="K77" s="10" t="s">
        <v>243</v>
      </c>
      <c r="L77" s="10" t="s">
        <v>246</v>
      </c>
      <c r="M77" s="12">
        <v>0</v>
      </c>
      <c r="N77" s="9">
        <v>5319860.6999999983</v>
      </c>
      <c r="O77" s="13">
        <v>0.99224358916825661</v>
      </c>
      <c r="P77" s="9">
        <v>41585.580000001937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14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</row>
    <row r="78" spans="1:88" x14ac:dyDescent="0.25">
      <c r="A78" s="15">
        <v>29</v>
      </c>
      <c r="B78" s="4" t="s">
        <v>247</v>
      </c>
      <c r="C78" s="5" t="s">
        <v>77</v>
      </c>
      <c r="D78" s="6">
        <v>240</v>
      </c>
      <c r="E78" s="7">
        <v>45925</v>
      </c>
      <c r="F78" s="8">
        <v>46165</v>
      </c>
      <c r="G78" s="9">
        <v>544550.48</v>
      </c>
      <c r="H78" s="10" t="s">
        <v>78</v>
      </c>
      <c r="I78" s="10" t="s">
        <v>99</v>
      </c>
      <c r="J78" s="11" t="s">
        <v>80</v>
      </c>
      <c r="K78" s="10" t="s">
        <v>192</v>
      </c>
      <c r="L78" s="10" t="s">
        <v>248</v>
      </c>
      <c r="M78" s="12">
        <v>425261.39999999997</v>
      </c>
      <c r="N78" s="9">
        <v>425261.39999999997</v>
      </c>
      <c r="O78" s="13">
        <v>0.78094027205705518</v>
      </c>
      <c r="P78" s="9">
        <v>119289.08000000002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33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</row>
    <row r="79" spans="1:88" x14ac:dyDescent="0.25">
      <c r="A79" s="15">
        <v>30</v>
      </c>
      <c r="B79" s="4" t="s">
        <v>249</v>
      </c>
      <c r="C79" s="5" t="s">
        <v>77</v>
      </c>
      <c r="D79" s="6">
        <v>1019</v>
      </c>
      <c r="E79" s="7">
        <v>45035</v>
      </c>
      <c r="F79" s="8">
        <v>46054</v>
      </c>
      <c r="G79" s="9">
        <v>28459856.91</v>
      </c>
      <c r="H79" s="10" t="s">
        <v>78</v>
      </c>
      <c r="I79" s="10" t="s">
        <v>99</v>
      </c>
      <c r="J79" s="17" t="s">
        <v>90</v>
      </c>
      <c r="K79" s="10" t="s">
        <v>146</v>
      </c>
      <c r="L79" s="10" t="s">
        <v>250</v>
      </c>
      <c r="M79" s="12">
        <v>19557304.370000001</v>
      </c>
      <c r="N79" s="9">
        <v>19844966.530000001</v>
      </c>
      <c r="O79" s="13">
        <v>0.69729677815165103</v>
      </c>
      <c r="P79" s="9">
        <v>8614890.379999999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33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</row>
    <row r="80" spans="1:88" x14ac:dyDescent="0.25">
      <c r="A80" s="15">
        <v>31</v>
      </c>
      <c r="B80" s="4" t="s">
        <v>251</v>
      </c>
      <c r="C80" s="5" t="s">
        <v>77</v>
      </c>
      <c r="D80" s="6">
        <v>1388</v>
      </c>
      <c r="E80" s="7">
        <v>44623</v>
      </c>
      <c r="F80" s="8">
        <v>46011</v>
      </c>
      <c r="G80" s="9">
        <v>45726170.25</v>
      </c>
      <c r="H80" s="10" t="s">
        <v>78</v>
      </c>
      <c r="I80" s="10" t="s">
        <v>79</v>
      </c>
      <c r="J80" s="11" t="s">
        <v>80</v>
      </c>
      <c r="K80" s="10" t="s">
        <v>218</v>
      </c>
      <c r="L80" s="10" t="s">
        <v>250</v>
      </c>
      <c r="M80" s="12">
        <v>5250302.04</v>
      </c>
      <c r="N80" s="9">
        <v>35877738.719999999</v>
      </c>
      <c r="O80" s="13">
        <v>0.78462155312471193</v>
      </c>
      <c r="P80" s="9">
        <v>9848431.5300000012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33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</row>
    <row r="81" spans="1:88" x14ac:dyDescent="0.25">
      <c r="A81" s="15">
        <v>32</v>
      </c>
      <c r="B81" s="4" t="s">
        <v>252</v>
      </c>
      <c r="C81" s="5" t="s">
        <v>77</v>
      </c>
      <c r="D81" s="6">
        <v>1450</v>
      </c>
      <c r="E81" s="7">
        <v>44641</v>
      </c>
      <c r="F81" s="8">
        <v>46091</v>
      </c>
      <c r="G81" s="9">
        <v>43796954.979999997</v>
      </c>
      <c r="H81" s="10" t="s">
        <v>78</v>
      </c>
      <c r="I81" s="10" t="s">
        <v>79</v>
      </c>
      <c r="J81" s="11" t="s">
        <v>80</v>
      </c>
      <c r="K81" s="10" t="s">
        <v>218</v>
      </c>
      <c r="L81" s="10" t="s">
        <v>250</v>
      </c>
      <c r="M81" s="12">
        <v>8362397.1399999997</v>
      </c>
      <c r="N81" s="9">
        <v>42048979.520000003</v>
      </c>
      <c r="O81" s="13">
        <v>0.96008910982970819</v>
      </c>
      <c r="P81" s="9">
        <v>1747975.4599999934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33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</row>
    <row r="82" spans="1:88" x14ac:dyDescent="0.25">
      <c r="A82" s="15">
        <v>33</v>
      </c>
      <c r="B82" s="4" t="s">
        <v>253</v>
      </c>
      <c r="C82" s="5" t="s">
        <v>77</v>
      </c>
      <c r="D82" s="6">
        <v>900</v>
      </c>
      <c r="E82" s="7">
        <v>45901</v>
      </c>
      <c r="F82" s="8">
        <v>46801</v>
      </c>
      <c r="G82" s="9">
        <v>41522873.420000002</v>
      </c>
      <c r="H82" s="10" t="s">
        <v>78</v>
      </c>
      <c r="I82" s="10" t="s">
        <v>89</v>
      </c>
      <c r="J82" s="17" t="s">
        <v>90</v>
      </c>
      <c r="K82" s="10" t="s">
        <v>210</v>
      </c>
      <c r="L82" s="10" t="s">
        <v>254</v>
      </c>
      <c r="M82" s="12">
        <v>0</v>
      </c>
      <c r="N82" s="9">
        <v>0</v>
      </c>
      <c r="O82" s="13">
        <v>0</v>
      </c>
      <c r="P82" s="9">
        <v>41522873.420000002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33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</row>
    <row r="83" spans="1:88" x14ac:dyDescent="0.25">
      <c r="A83" s="15"/>
      <c r="B83" s="4" t="s">
        <v>255</v>
      </c>
      <c r="C83" s="5" t="s">
        <v>77</v>
      </c>
      <c r="D83" s="6">
        <v>303</v>
      </c>
      <c r="E83" s="7">
        <v>45314</v>
      </c>
      <c r="F83" s="8">
        <v>45617</v>
      </c>
      <c r="G83" s="9">
        <v>7155724.3899999997</v>
      </c>
      <c r="H83" s="10" t="s">
        <v>98</v>
      </c>
      <c r="I83" s="10" t="s">
        <v>99</v>
      </c>
      <c r="J83" s="17" t="s">
        <v>90</v>
      </c>
      <c r="K83" s="10" t="s">
        <v>256</v>
      </c>
      <c r="L83" s="10" t="s">
        <v>257</v>
      </c>
      <c r="M83" s="12">
        <v>0</v>
      </c>
      <c r="N83" s="9">
        <v>7148655.6200000001</v>
      </c>
      <c r="O83" s="13">
        <v>0.99901215172430657</v>
      </c>
      <c r="P83" s="9">
        <v>7068.769999999553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14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</row>
    <row r="84" spans="1:88" x14ac:dyDescent="0.25">
      <c r="A84" s="15">
        <v>34</v>
      </c>
      <c r="B84" s="4" t="s">
        <v>258</v>
      </c>
      <c r="C84" s="5" t="s">
        <v>77</v>
      </c>
      <c r="D84" s="6">
        <v>664</v>
      </c>
      <c r="E84" s="7">
        <v>45398</v>
      </c>
      <c r="F84" s="8">
        <v>46062</v>
      </c>
      <c r="G84" s="9">
        <v>6765672.29</v>
      </c>
      <c r="H84" s="10" t="s">
        <v>78</v>
      </c>
      <c r="I84" s="10" t="s">
        <v>89</v>
      </c>
      <c r="J84" s="17" t="s">
        <v>90</v>
      </c>
      <c r="K84" s="10" t="s">
        <v>256</v>
      </c>
      <c r="L84" s="10" t="s">
        <v>257</v>
      </c>
      <c r="M84" s="12">
        <v>4600873.3500000006</v>
      </c>
      <c r="N84" s="9">
        <v>5991696.6599999992</v>
      </c>
      <c r="O84" s="13">
        <v>0.88560255406636001</v>
      </c>
      <c r="P84" s="9">
        <v>773975.63000000082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33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</row>
    <row r="85" spans="1:88" x14ac:dyDescent="0.25">
      <c r="A85" s="15"/>
      <c r="B85" s="4" t="s">
        <v>259</v>
      </c>
      <c r="C85" s="5" t="s">
        <v>77</v>
      </c>
      <c r="D85" s="6">
        <v>932</v>
      </c>
      <c r="E85" s="7">
        <v>44708</v>
      </c>
      <c r="F85" s="8">
        <v>45640</v>
      </c>
      <c r="G85" s="9">
        <v>1923627.23</v>
      </c>
      <c r="H85" s="10" t="s">
        <v>98</v>
      </c>
      <c r="I85" s="10" t="s">
        <v>89</v>
      </c>
      <c r="J85" s="16" t="s">
        <v>85</v>
      </c>
      <c r="K85" s="10" t="s">
        <v>260</v>
      </c>
      <c r="L85" s="10" t="s">
        <v>261</v>
      </c>
      <c r="M85" s="12">
        <v>0</v>
      </c>
      <c r="N85" s="9">
        <v>1923627.2400000002</v>
      </c>
      <c r="O85" s="13">
        <v>1</v>
      </c>
      <c r="P85" s="9">
        <v>-1.0000000242143869E-2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14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</row>
    <row r="86" spans="1:88" x14ac:dyDescent="0.25">
      <c r="A86" s="15"/>
      <c r="B86" s="4" t="s">
        <v>262</v>
      </c>
      <c r="C86" s="5" t="s">
        <v>77</v>
      </c>
      <c r="D86" s="6">
        <v>360</v>
      </c>
      <c r="E86" s="7">
        <v>45100</v>
      </c>
      <c r="F86" s="8">
        <v>45460</v>
      </c>
      <c r="G86" s="9">
        <v>16774604.060000001</v>
      </c>
      <c r="H86" s="10" t="s">
        <v>120</v>
      </c>
      <c r="I86" s="10" t="s">
        <v>102</v>
      </c>
      <c r="J86" s="11" t="s">
        <v>80</v>
      </c>
      <c r="K86" s="10" t="s">
        <v>93</v>
      </c>
      <c r="L86" s="10" t="s">
        <v>263</v>
      </c>
      <c r="M86" s="12">
        <v>0</v>
      </c>
      <c r="N86" s="9">
        <v>127835.64</v>
      </c>
      <c r="O86" s="13">
        <v>0.76207843441641265</v>
      </c>
      <c r="P86" s="9">
        <v>16646768.42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14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</row>
    <row r="87" spans="1:88" x14ac:dyDescent="0.25">
      <c r="A87" s="15">
        <v>35</v>
      </c>
      <c r="B87" s="4" t="s">
        <v>264</v>
      </c>
      <c r="C87" s="5" t="s">
        <v>77</v>
      </c>
      <c r="D87" s="6">
        <v>1174</v>
      </c>
      <c r="E87" s="7">
        <v>45019</v>
      </c>
      <c r="F87" s="8">
        <v>46193</v>
      </c>
      <c r="G87" s="9">
        <v>18698052.190000001</v>
      </c>
      <c r="H87" s="10" t="s">
        <v>78</v>
      </c>
      <c r="I87" s="10" t="s">
        <v>89</v>
      </c>
      <c r="J87" s="11" t="s">
        <v>80</v>
      </c>
      <c r="K87" s="10" t="s">
        <v>81</v>
      </c>
      <c r="L87" s="10" t="s">
        <v>263</v>
      </c>
      <c r="M87" s="12">
        <v>2715707.77</v>
      </c>
      <c r="N87" s="9">
        <v>13115141.030000001</v>
      </c>
      <c r="O87" s="13">
        <v>0.70141750042895779</v>
      </c>
      <c r="P87" s="9">
        <v>5582911.1600000001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33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</row>
    <row r="88" spans="1:88" x14ac:dyDescent="0.25">
      <c r="A88" s="15">
        <v>36</v>
      </c>
      <c r="B88" s="4" t="s">
        <v>265</v>
      </c>
      <c r="C88" s="5" t="s">
        <v>77</v>
      </c>
      <c r="D88" s="6">
        <v>963</v>
      </c>
      <c r="E88" s="7">
        <v>45190</v>
      </c>
      <c r="F88" s="8">
        <v>46153</v>
      </c>
      <c r="G88" s="9">
        <v>26504288.68</v>
      </c>
      <c r="H88" s="10" t="s">
        <v>78</v>
      </c>
      <c r="I88" s="10" t="s">
        <v>89</v>
      </c>
      <c r="J88" s="17" t="s">
        <v>90</v>
      </c>
      <c r="K88" s="10" t="s">
        <v>91</v>
      </c>
      <c r="L88" s="10" t="s">
        <v>263</v>
      </c>
      <c r="M88" s="12">
        <v>3124707.18</v>
      </c>
      <c r="N88" s="9">
        <v>14219584.479999999</v>
      </c>
      <c r="O88" s="13">
        <v>0.53650126783934493</v>
      </c>
      <c r="P88" s="9">
        <v>12284704.200000001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33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</row>
    <row r="89" spans="1:88" x14ac:dyDescent="0.25">
      <c r="A89" s="15">
        <v>37</v>
      </c>
      <c r="B89" s="4" t="s">
        <v>266</v>
      </c>
      <c r="C89" s="5" t="s">
        <v>77</v>
      </c>
      <c r="D89" s="6">
        <v>1042</v>
      </c>
      <c r="E89" s="7">
        <v>44991</v>
      </c>
      <c r="F89" s="8">
        <v>46033</v>
      </c>
      <c r="G89" s="9">
        <v>20190451.780000001</v>
      </c>
      <c r="H89" s="10" t="s">
        <v>78</v>
      </c>
      <c r="I89" s="10" t="s">
        <v>99</v>
      </c>
      <c r="J89" s="17" t="s">
        <v>90</v>
      </c>
      <c r="K89" s="10" t="s">
        <v>146</v>
      </c>
      <c r="L89" s="10" t="s">
        <v>263</v>
      </c>
      <c r="M89" s="12">
        <v>6197590.2599999998</v>
      </c>
      <c r="N89" s="9">
        <v>15889085.540000001</v>
      </c>
      <c r="O89" s="13">
        <v>0.78696037677270836</v>
      </c>
      <c r="P89" s="9">
        <v>4301366.24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33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</row>
    <row r="90" spans="1:88" x14ac:dyDescent="0.25">
      <c r="A90" s="15"/>
      <c r="B90" s="4" t="s">
        <v>267</v>
      </c>
      <c r="C90" s="5" t="s">
        <v>77</v>
      </c>
      <c r="D90" s="6">
        <v>300</v>
      </c>
      <c r="E90" s="7">
        <v>45100</v>
      </c>
      <c r="F90" s="8">
        <v>45400</v>
      </c>
      <c r="G90" s="9">
        <v>6784130.4400000004</v>
      </c>
      <c r="H90" s="10" t="s">
        <v>120</v>
      </c>
      <c r="I90" s="10" t="s">
        <v>89</v>
      </c>
      <c r="J90" s="17" t="s">
        <v>90</v>
      </c>
      <c r="K90" s="10" t="s">
        <v>177</v>
      </c>
      <c r="L90" s="10" t="s">
        <v>263</v>
      </c>
      <c r="M90" s="12">
        <v>0</v>
      </c>
      <c r="N90" s="9">
        <v>0</v>
      </c>
      <c r="O90" s="13">
        <v>0</v>
      </c>
      <c r="P90" s="9">
        <v>6784130.4400000004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14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</row>
    <row r="91" spans="1:88" x14ac:dyDescent="0.25">
      <c r="A91" s="15"/>
      <c r="B91" s="4" t="s">
        <v>268</v>
      </c>
      <c r="C91" s="5" t="s">
        <v>77</v>
      </c>
      <c r="D91" s="6">
        <v>724</v>
      </c>
      <c r="E91" s="7">
        <v>45019</v>
      </c>
      <c r="F91" s="8">
        <v>45743</v>
      </c>
      <c r="G91" s="9">
        <v>30599999.010000002</v>
      </c>
      <c r="H91" s="10" t="s">
        <v>98</v>
      </c>
      <c r="I91" s="10" t="s">
        <v>84</v>
      </c>
      <c r="J91" s="11" t="s">
        <v>80</v>
      </c>
      <c r="K91" s="10" t="s">
        <v>218</v>
      </c>
      <c r="L91" s="10" t="s">
        <v>263</v>
      </c>
      <c r="M91" s="12">
        <v>0</v>
      </c>
      <c r="N91" s="9">
        <v>30456294.330000002</v>
      </c>
      <c r="O91" s="13">
        <v>0.99530376847551405</v>
      </c>
      <c r="P91" s="9">
        <v>143704.6799999997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14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</row>
    <row r="92" spans="1:88" x14ac:dyDescent="0.25">
      <c r="A92" s="15">
        <v>38</v>
      </c>
      <c r="B92" s="4" t="s">
        <v>269</v>
      </c>
      <c r="C92" s="5" t="s">
        <v>77</v>
      </c>
      <c r="D92" s="6">
        <v>1114</v>
      </c>
      <c r="E92" s="7">
        <v>44909</v>
      </c>
      <c r="F92" s="8">
        <v>46023</v>
      </c>
      <c r="G92" s="9">
        <v>7795660.46</v>
      </c>
      <c r="H92" s="10" t="s">
        <v>78</v>
      </c>
      <c r="I92" s="10" t="s">
        <v>79</v>
      </c>
      <c r="J92" s="11" t="s">
        <v>80</v>
      </c>
      <c r="K92" s="10" t="s">
        <v>81</v>
      </c>
      <c r="L92" s="10" t="s">
        <v>270</v>
      </c>
      <c r="M92" s="12">
        <v>959686.40999999992</v>
      </c>
      <c r="N92" s="9">
        <v>7571952.2800000012</v>
      </c>
      <c r="O92" s="13">
        <v>0.97130349876731303</v>
      </c>
      <c r="P92" s="9">
        <v>223708.17999999877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33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</row>
    <row r="93" spans="1:88" x14ac:dyDescent="0.25">
      <c r="A93" s="15"/>
      <c r="B93" s="4" t="s">
        <v>271</v>
      </c>
      <c r="C93" s="5" t="s">
        <v>77</v>
      </c>
      <c r="D93" s="6">
        <v>993</v>
      </c>
      <c r="E93" s="7">
        <v>44823</v>
      </c>
      <c r="F93" s="8">
        <v>45816</v>
      </c>
      <c r="G93" s="9">
        <v>26946699.359999999</v>
      </c>
      <c r="H93" s="10" t="s">
        <v>98</v>
      </c>
      <c r="I93" s="10" t="s">
        <v>99</v>
      </c>
      <c r="J93" s="11" t="s">
        <v>80</v>
      </c>
      <c r="K93" s="10" t="s">
        <v>113</v>
      </c>
      <c r="L93" s="10" t="s">
        <v>272</v>
      </c>
      <c r="M93" s="12">
        <v>0</v>
      </c>
      <c r="N93" s="9">
        <v>26930984.009999994</v>
      </c>
      <c r="O93" s="13">
        <v>0.99941679870361666</v>
      </c>
      <c r="P93" s="9">
        <v>15715.350000005215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14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</row>
    <row r="94" spans="1:88" x14ac:dyDescent="0.25">
      <c r="A94" s="15"/>
      <c r="B94" s="4" t="s">
        <v>273</v>
      </c>
      <c r="C94" s="5" t="s">
        <v>77</v>
      </c>
      <c r="D94" s="6">
        <v>759</v>
      </c>
      <c r="E94" s="7">
        <v>44708</v>
      </c>
      <c r="F94" s="8">
        <v>45467</v>
      </c>
      <c r="G94" s="9">
        <v>6014775.7699999996</v>
      </c>
      <c r="H94" s="10" t="s">
        <v>98</v>
      </c>
      <c r="I94" s="10" t="s">
        <v>99</v>
      </c>
      <c r="J94" s="17" t="s">
        <v>90</v>
      </c>
      <c r="K94" s="10" t="s">
        <v>107</v>
      </c>
      <c r="L94" s="10" t="s">
        <v>272</v>
      </c>
      <c r="M94" s="12">
        <v>0</v>
      </c>
      <c r="N94" s="9">
        <v>5996889.6800000006</v>
      </c>
      <c r="O94" s="13">
        <v>0.9970263080979328</v>
      </c>
      <c r="P94" s="9">
        <v>17886.08999999892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14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</row>
    <row r="95" spans="1:88" x14ac:dyDescent="0.25">
      <c r="A95" s="15"/>
      <c r="B95" s="4" t="s">
        <v>274</v>
      </c>
      <c r="C95" s="5" t="s">
        <v>77</v>
      </c>
      <c r="D95" s="6">
        <v>768</v>
      </c>
      <c r="E95" s="7">
        <v>44658</v>
      </c>
      <c r="F95" s="8">
        <v>45426</v>
      </c>
      <c r="G95" s="9">
        <v>3569195.39</v>
      </c>
      <c r="H95" s="10" t="s">
        <v>120</v>
      </c>
      <c r="I95" s="10" t="s">
        <v>99</v>
      </c>
      <c r="J95" s="17" t="s">
        <v>90</v>
      </c>
      <c r="K95" s="10" t="s">
        <v>107</v>
      </c>
      <c r="L95" s="10" t="s">
        <v>272</v>
      </c>
      <c r="M95" s="12">
        <v>0</v>
      </c>
      <c r="N95" s="9">
        <v>3538001.1599999997</v>
      </c>
      <c r="O95" s="13">
        <v>0.99126015065260953</v>
      </c>
      <c r="P95" s="9">
        <v>31194.230000000447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14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</row>
    <row r="96" spans="1:88" x14ac:dyDescent="0.25">
      <c r="A96" s="15">
        <v>39</v>
      </c>
      <c r="B96" s="4" t="s">
        <v>275</v>
      </c>
      <c r="C96" s="19" t="s">
        <v>276</v>
      </c>
      <c r="D96" s="6">
        <v>374</v>
      </c>
      <c r="E96" s="7">
        <v>45848</v>
      </c>
      <c r="F96" s="8">
        <v>46222</v>
      </c>
      <c r="G96" s="9">
        <v>7066834.9000000004</v>
      </c>
      <c r="H96" s="10" t="s">
        <v>78</v>
      </c>
      <c r="I96" s="10" t="s">
        <v>99</v>
      </c>
      <c r="J96" s="16" t="s">
        <v>85</v>
      </c>
      <c r="K96" s="10" t="s">
        <v>133</v>
      </c>
      <c r="L96" s="10" t="s">
        <v>277</v>
      </c>
      <c r="M96" s="12">
        <v>4381697.88</v>
      </c>
      <c r="N96" s="9">
        <v>4381697.88</v>
      </c>
      <c r="O96" s="13">
        <v>0.62003682582141539</v>
      </c>
      <c r="P96" s="9">
        <v>2685137.0200000005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33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</row>
    <row r="97" spans="1:88" x14ac:dyDescent="0.25">
      <c r="A97" s="15"/>
      <c r="B97" s="4" t="s">
        <v>278</v>
      </c>
      <c r="C97" s="19" t="s">
        <v>276</v>
      </c>
      <c r="D97" s="6">
        <v>210</v>
      </c>
      <c r="E97" s="7">
        <v>45776</v>
      </c>
      <c r="F97" s="8">
        <v>45986</v>
      </c>
      <c r="G97" s="9">
        <v>1612154.63</v>
      </c>
      <c r="H97" s="10" t="s">
        <v>98</v>
      </c>
      <c r="I97" s="10" t="s">
        <v>99</v>
      </c>
      <c r="J97" s="18" t="s">
        <v>160</v>
      </c>
      <c r="K97" s="10" t="s">
        <v>279</v>
      </c>
      <c r="L97" s="10" t="s">
        <v>280</v>
      </c>
      <c r="M97" s="12">
        <v>1612016.3299999998</v>
      </c>
      <c r="N97" s="9">
        <v>1612016.3299999998</v>
      </c>
      <c r="O97" s="13">
        <v>0.99991421418428073</v>
      </c>
      <c r="P97" s="9">
        <v>138.30000000004657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14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</row>
    <row r="98" spans="1:88" x14ac:dyDescent="0.25">
      <c r="A98" s="15">
        <v>40</v>
      </c>
      <c r="B98" s="4" t="s">
        <v>281</v>
      </c>
      <c r="C98" s="19" t="s">
        <v>276</v>
      </c>
      <c r="D98" s="6">
        <v>360</v>
      </c>
      <c r="E98" s="7">
        <v>45867</v>
      </c>
      <c r="F98" s="8">
        <v>46227</v>
      </c>
      <c r="G98" s="9">
        <v>10349390.52</v>
      </c>
      <c r="H98" s="10" t="s">
        <v>78</v>
      </c>
      <c r="I98" s="10" t="s">
        <v>99</v>
      </c>
      <c r="J98" s="17" t="s">
        <v>90</v>
      </c>
      <c r="K98" s="10" t="s">
        <v>148</v>
      </c>
      <c r="L98" s="10" t="s">
        <v>282</v>
      </c>
      <c r="M98" s="12">
        <v>2420969.38</v>
      </c>
      <c r="N98" s="9">
        <v>2420969.38</v>
      </c>
      <c r="O98" s="13">
        <v>0.23392386008833302</v>
      </c>
      <c r="P98" s="9">
        <v>7928421.1399999997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33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</row>
    <row r="99" spans="1:88" x14ac:dyDescent="0.25">
      <c r="A99" s="15"/>
      <c r="B99" s="4" t="s">
        <v>283</v>
      </c>
      <c r="C99" s="19" t="s">
        <v>276</v>
      </c>
      <c r="D99" s="6">
        <v>359</v>
      </c>
      <c r="E99" s="7">
        <v>45646</v>
      </c>
      <c r="F99" s="8">
        <v>46005</v>
      </c>
      <c r="G99" s="9">
        <v>25179808.670000002</v>
      </c>
      <c r="H99" s="10" t="s">
        <v>98</v>
      </c>
      <c r="I99" s="10" t="s">
        <v>99</v>
      </c>
      <c r="J99" s="11" t="s">
        <v>80</v>
      </c>
      <c r="K99" s="10" t="s">
        <v>110</v>
      </c>
      <c r="L99" s="10" t="s">
        <v>284</v>
      </c>
      <c r="M99" s="12">
        <v>21884193.460000001</v>
      </c>
      <c r="N99" s="9">
        <v>25102277.930000003</v>
      </c>
      <c r="O99" s="13">
        <v>0.99692091623824086</v>
      </c>
      <c r="P99" s="9">
        <v>77530.739999998361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14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</row>
    <row r="100" spans="1:88" x14ac:dyDescent="0.25">
      <c r="A100" s="15"/>
      <c r="B100" s="4" t="s">
        <v>285</v>
      </c>
      <c r="C100" s="19" t="s">
        <v>276</v>
      </c>
      <c r="D100" s="6">
        <v>181</v>
      </c>
      <c r="E100" s="7">
        <v>45783</v>
      </c>
      <c r="F100" s="8">
        <v>45964</v>
      </c>
      <c r="G100" s="9">
        <v>666913.68000000005</v>
      </c>
      <c r="H100" s="10" t="s">
        <v>98</v>
      </c>
      <c r="I100" s="10" t="s">
        <v>99</v>
      </c>
      <c r="J100" s="17" t="s">
        <v>90</v>
      </c>
      <c r="K100" s="10" t="s">
        <v>148</v>
      </c>
      <c r="L100" s="10" t="s">
        <v>261</v>
      </c>
      <c r="M100" s="12">
        <v>666913.68000000005</v>
      </c>
      <c r="N100" s="9">
        <v>666913.68000000005</v>
      </c>
      <c r="O100" s="13">
        <v>1</v>
      </c>
      <c r="P100" s="9">
        <v>0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14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</row>
    <row r="101" spans="1:88" x14ac:dyDescent="0.25">
      <c r="A101" s="15">
        <v>41</v>
      </c>
      <c r="B101" s="4" t="s">
        <v>286</v>
      </c>
      <c r="C101" s="19" t="s">
        <v>276</v>
      </c>
      <c r="D101" s="6">
        <v>332</v>
      </c>
      <c r="E101" s="7">
        <v>45783</v>
      </c>
      <c r="F101" s="8">
        <v>46115</v>
      </c>
      <c r="G101" s="9">
        <v>763285.07</v>
      </c>
      <c r="H101" s="10" t="s">
        <v>78</v>
      </c>
      <c r="I101" s="10" t="s">
        <v>99</v>
      </c>
      <c r="J101" s="17" t="s">
        <v>90</v>
      </c>
      <c r="K101" s="10" t="s">
        <v>148</v>
      </c>
      <c r="L101" s="10" t="s">
        <v>261</v>
      </c>
      <c r="M101" s="12">
        <v>548089.30999999994</v>
      </c>
      <c r="N101" s="9">
        <v>548089.30999999994</v>
      </c>
      <c r="O101" s="13">
        <v>0.71806633136424369</v>
      </c>
      <c r="P101" s="9">
        <v>215195.76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33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</row>
    <row r="102" spans="1:88" x14ac:dyDescent="0.25">
      <c r="A102" s="15"/>
      <c r="B102" s="4" t="s">
        <v>287</v>
      </c>
      <c r="C102" s="19" t="s">
        <v>276</v>
      </c>
      <c r="D102" s="6">
        <v>90</v>
      </c>
      <c r="E102" s="7">
        <v>45915</v>
      </c>
      <c r="F102" s="8">
        <v>46005</v>
      </c>
      <c r="G102" s="9">
        <v>256613.37</v>
      </c>
      <c r="H102" s="10" t="s">
        <v>288</v>
      </c>
      <c r="I102" s="10" t="s">
        <v>89</v>
      </c>
      <c r="J102" s="18" t="s">
        <v>160</v>
      </c>
      <c r="K102" s="10" t="s">
        <v>161</v>
      </c>
      <c r="L102" s="10" t="s">
        <v>289</v>
      </c>
      <c r="M102" s="12">
        <v>164482.69</v>
      </c>
      <c r="N102" s="9">
        <v>164482.69</v>
      </c>
      <c r="O102" s="13">
        <v>0.64097474734071724</v>
      </c>
      <c r="P102" s="9">
        <v>92130.68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14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</row>
    <row r="103" spans="1:88" x14ac:dyDescent="0.25">
      <c r="A103" s="15">
        <v>42</v>
      </c>
      <c r="B103" s="4" t="s">
        <v>290</v>
      </c>
      <c r="C103" s="19" t="s">
        <v>276</v>
      </c>
      <c r="D103" s="6">
        <v>180</v>
      </c>
      <c r="E103" s="7">
        <v>45917</v>
      </c>
      <c r="F103" s="8">
        <v>46097</v>
      </c>
      <c r="G103" s="9">
        <v>2742607.66</v>
      </c>
      <c r="H103" s="10" t="s">
        <v>78</v>
      </c>
      <c r="I103" s="10" t="s">
        <v>99</v>
      </c>
      <c r="J103" s="16" t="s">
        <v>85</v>
      </c>
      <c r="K103" s="10" t="s">
        <v>291</v>
      </c>
      <c r="L103" s="10" t="s">
        <v>292</v>
      </c>
      <c r="M103" s="12">
        <v>0</v>
      </c>
      <c r="N103" s="9">
        <v>0</v>
      </c>
      <c r="O103" s="13">
        <v>0</v>
      </c>
      <c r="P103" s="9">
        <v>2742607.66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33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</row>
    <row r="104" spans="1:88" x14ac:dyDescent="0.25">
      <c r="A104" s="15"/>
      <c r="B104" s="4" t="s">
        <v>293</v>
      </c>
      <c r="C104" s="20" t="s">
        <v>294</v>
      </c>
      <c r="D104" s="6">
        <v>570</v>
      </c>
      <c r="E104" s="7">
        <v>44613</v>
      </c>
      <c r="F104" s="8">
        <v>45183</v>
      </c>
      <c r="G104" s="9">
        <v>1052239.53</v>
      </c>
      <c r="H104" s="10" t="s">
        <v>98</v>
      </c>
      <c r="I104" s="10" t="s">
        <v>295</v>
      </c>
      <c r="J104" s="18" t="s">
        <v>160</v>
      </c>
      <c r="K104" s="10" t="s">
        <v>161</v>
      </c>
      <c r="L104" s="10" t="s">
        <v>296</v>
      </c>
      <c r="M104" s="12">
        <v>0</v>
      </c>
      <c r="N104" s="9">
        <v>1006235.15</v>
      </c>
      <c r="O104" s="13">
        <v>0.95627955547345767</v>
      </c>
      <c r="P104" s="9">
        <v>46004.380000000005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14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</row>
    <row r="105" spans="1:88" x14ac:dyDescent="0.25">
      <c r="A105" s="15"/>
      <c r="B105" s="4" t="s">
        <v>297</v>
      </c>
      <c r="C105" s="20" t="s">
        <v>294</v>
      </c>
      <c r="D105" s="6">
        <v>596</v>
      </c>
      <c r="E105" s="7">
        <v>44917</v>
      </c>
      <c r="F105" s="8">
        <v>45513</v>
      </c>
      <c r="G105" s="9">
        <v>14782911.98</v>
      </c>
      <c r="H105" s="10" t="s">
        <v>98</v>
      </c>
      <c r="I105" s="10" t="s">
        <v>79</v>
      </c>
      <c r="J105" s="17" t="s">
        <v>90</v>
      </c>
      <c r="K105" s="10" t="s">
        <v>298</v>
      </c>
      <c r="L105" s="10" t="s">
        <v>299</v>
      </c>
      <c r="M105" s="12">
        <v>0</v>
      </c>
      <c r="N105" s="9">
        <v>13180256.4</v>
      </c>
      <c r="O105" s="13">
        <v>0.89158728793296915</v>
      </c>
      <c r="P105" s="9">
        <v>1602655.58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14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</row>
    <row r="106" spans="1:88" x14ac:dyDescent="0.25">
      <c r="A106" s="15">
        <v>43</v>
      </c>
      <c r="B106" s="4" t="s">
        <v>300</v>
      </c>
      <c r="C106" s="20" t="s">
        <v>294</v>
      </c>
      <c r="D106" s="6">
        <v>1254</v>
      </c>
      <c r="E106" s="7">
        <v>44757</v>
      </c>
      <c r="F106" s="8">
        <v>46011</v>
      </c>
      <c r="G106" s="9">
        <v>15203482.789999999</v>
      </c>
      <c r="H106" s="10" t="s">
        <v>78</v>
      </c>
      <c r="I106" s="10" t="s">
        <v>301</v>
      </c>
      <c r="J106" s="18" t="s">
        <v>160</v>
      </c>
      <c r="K106" s="10" t="s">
        <v>161</v>
      </c>
      <c r="L106" s="10" t="s">
        <v>302</v>
      </c>
      <c r="M106" s="12">
        <v>1367123.81</v>
      </c>
      <c r="N106" s="9">
        <v>2301268.7200000002</v>
      </c>
      <c r="O106" s="13">
        <v>0.15136457559011715</v>
      </c>
      <c r="P106" s="9">
        <v>12902214.069999998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33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</row>
    <row r="107" spans="1:88" x14ac:dyDescent="0.25">
      <c r="A107" s="15">
        <v>44</v>
      </c>
      <c r="B107" s="4" t="s">
        <v>303</v>
      </c>
      <c r="C107" s="20" t="s">
        <v>294</v>
      </c>
      <c r="D107" s="6">
        <v>1538</v>
      </c>
      <c r="E107" s="7">
        <v>44537</v>
      </c>
      <c r="F107" s="8">
        <v>46075</v>
      </c>
      <c r="G107" s="9">
        <v>13554947.83</v>
      </c>
      <c r="H107" s="10" t="s">
        <v>78</v>
      </c>
      <c r="I107" s="10" t="s">
        <v>301</v>
      </c>
      <c r="J107" s="18" t="s">
        <v>160</v>
      </c>
      <c r="K107" s="10" t="s">
        <v>161</v>
      </c>
      <c r="L107" s="10" t="s">
        <v>302</v>
      </c>
      <c r="M107" s="12">
        <v>710964.03</v>
      </c>
      <c r="N107" s="9">
        <v>12888606.560000002</v>
      </c>
      <c r="O107" s="13">
        <v>0.95084147291771626</v>
      </c>
      <c r="P107" s="9">
        <v>666341.26999999769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33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</row>
    <row r="108" spans="1:88" x14ac:dyDescent="0.25">
      <c r="A108" s="15"/>
      <c r="B108" s="4" t="s">
        <v>304</v>
      </c>
      <c r="C108" s="20" t="s">
        <v>294</v>
      </c>
      <c r="D108" s="6">
        <v>980</v>
      </c>
      <c r="E108" s="7">
        <v>44581</v>
      </c>
      <c r="F108" s="8">
        <v>45561</v>
      </c>
      <c r="G108" s="9">
        <v>13677862.32</v>
      </c>
      <c r="H108" s="10" t="s">
        <v>120</v>
      </c>
      <c r="I108" s="10" t="s">
        <v>79</v>
      </c>
      <c r="J108" s="18" t="s">
        <v>160</v>
      </c>
      <c r="K108" s="10" t="s">
        <v>161</v>
      </c>
      <c r="L108" s="10" t="s">
        <v>302</v>
      </c>
      <c r="M108" s="12">
        <v>0</v>
      </c>
      <c r="N108" s="9">
        <v>296101.87</v>
      </c>
      <c r="O108" s="13">
        <v>2.1648256362913881E-2</v>
      </c>
      <c r="P108" s="9">
        <v>13381760.450000001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14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</row>
    <row r="109" spans="1:88" x14ac:dyDescent="0.25">
      <c r="A109" s="15"/>
      <c r="B109" s="4" t="s">
        <v>305</v>
      </c>
      <c r="C109" s="20" t="s">
        <v>294</v>
      </c>
      <c r="D109" s="6">
        <v>603</v>
      </c>
      <c r="E109" s="7">
        <v>44872</v>
      </c>
      <c r="F109" s="8">
        <v>45475</v>
      </c>
      <c r="G109" s="9">
        <v>56185153.920000002</v>
      </c>
      <c r="H109" s="10" t="s">
        <v>98</v>
      </c>
      <c r="I109" s="10" t="s">
        <v>306</v>
      </c>
      <c r="J109" s="18" t="s">
        <v>160</v>
      </c>
      <c r="K109" s="10" t="s">
        <v>161</v>
      </c>
      <c r="L109" s="10" t="s">
        <v>307</v>
      </c>
      <c r="M109" s="12">
        <v>0</v>
      </c>
      <c r="N109" s="9">
        <v>54872063.399999991</v>
      </c>
      <c r="O109" s="13">
        <v>0.97662922625664295</v>
      </c>
      <c r="P109" s="9">
        <v>1313090.5200000107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14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</row>
    <row r="110" spans="1:88" x14ac:dyDescent="0.25">
      <c r="A110" s="15">
        <v>45</v>
      </c>
      <c r="B110" s="4" t="s">
        <v>308</v>
      </c>
      <c r="C110" s="20" t="s">
        <v>294</v>
      </c>
      <c r="D110" s="6">
        <v>467</v>
      </c>
      <c r="E110" s="7">
        <v>45555</v>
      </c>
      <c r="F110" s="8">
        <v>46022</v>
      </c>
      <c r="G110" s="9">
        <v>74609626.420000002</v>
      </c>
      <c r="H110" s="10" t="s">
        <v>78</v>
      </c>
      <c r="I110" s="10" t="s">
        <v>309</v>
      </c>
      <c r="J110" s="18" t="s">
        <v>160</v>
      </c>
      <c r="K110" s="10" t="s">
        <v>161</v>
      </c>
      <c r="L110" s="10" t="s">
        <v>310</v>
      </c>
      <c r="M110" s="12">
        <v>55173009.469999999</v>
      </c>
      <c r="N110" s="9">
        <v>61911151.039999999</v>
      </c>
      <c r="O110" s="13">
        <v>0.82980111294866332</v>
      </c>
      <c r="P110" s="9">
        <v>12698475.380000003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33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</row>
    <row r="111" spans="1:88" x14ac:dyDescent="0.25">
      <c r="A111" s="15">
        <v>46</v>
      </c>
      <c r="B111" s="4" t="s">
        <v>311</v>
      </c>
      <c r="C111" s="20" t="s">
        <v>294</v>
      </c>
      <c r="D111" s="6">
        <v>365</v>
      </c>
      <c r="E111" s="7">
        <v>45758</v>
      </c>
      <c r="F111" s="8">
        <v>46123</v>
      </c>
      <c r="G111" s="9">
        <v>12100122.6</v>
      </c>
      <c r="H111" s="10" t="s">
        <v>78</v>
      </c>
      <c r="I111" s="10" t="s">
        <v>309</v>
      </c>
      <c r="J111" s="18" t="s">
        <v>160</v>
      </c>
      <c r="K111" s="10" t="s">
        <v>161</v>
      </c>
      <c r="L111" s="10" t="s">
        <v>312</v>
      </c>
      <c r="M111" s="12">
        <v>10301084.52</v>
      </c>
      <c r="N111" s="9">
        <v>10301084.52</v>
      </c>
      <c r="O111" s="13">
        <v>0.85132067339549111</v>
      </c>
      <c r="P111" s="9">
        <v>1799038.08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33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</row>
    <row r="112" spans="1:88" x14ac:dyDescent="0.25">
      <c r="A112" s="15">
        <v>47</v>
      </c>
      <c r="B112" s="4" t="s">
        <v>313</v>
      </c>
      <c r="C112" s="20" t="s">
        <v>294</v>
      </c>
      <c r="D112" s="6">
        <v>480</v>
      </c>
      <c r="E112" s="7">
        <v>45723</v>
      </c>
      <c r="F112" s="8">
        <v>46203</v>
      </c>
      <c r="G112" s="9">
        <v>24187461.93</v>
      </c>
      <c r="H112" s="10" t="s">
        <v>78</v>
      </c>
      <c r="I112" s="10" t="s">
        <v>301</v>
      </c>
      <c r="J112" s="18" t="s">
        <v>160</v>
      </c>
      <c r="K112" s="10" t="s">
        <v>161</v>
      </c>
      <c r="L112" s="10" t="s">
        <v>314</v>
      </c>
      <c r="M112" s="12">
        <v>11147804.809999999</v>
      </c>
      <c r="N112" s="9">
        <v>11147804.809999999</v>
      </c>
      <c r="O112" s="13">
        <v>0.46089188035778333</v>
      </c>
      <c r="P112" s="9">
        <v>13039657.120000001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33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</row>
    <row r="113" spans="1:88" x14ac:dyDescent="0.25">
      <c r="A113" s="15"/>
      <c r="B113" s="4" t="s">
        <v>315</v>
      </c>
      <c r="C113" s="20" t="s">
        <v>294</v>
      </c>
      <c r="D113" s="6">
        <v>219</v>
      </c>
      <c r="E113" s="7">
        <v>45034</v>
      </c>
      <c r="F113" s="8">
        <v>45253</v>
      </c>
      <c r="G113" s="9">
        <v>16880240</v>
      </c>
      <c r="H113" s="10" t="s">
        <v>98</v>
      </c>
      <c r="I113" s="10" t="s">
        <v>79</v>
      </c>
      <c r="J113" s="16" t="s">
        <v>85</v>
      </c>
      <c r="K113" s="10" t="s">
        <v>86</v>
      </c>
      <c r="L113" s="10" t="s">
        <v>316</v>
      </c>
      <c r="M113" s="12">
        <v>0</v>
      </c>
      <c r="N113" s="9">
        <v>13048536.540000001</v>
      </c>
      <c r="O113" s="13">
        <v>0.77300657692070729</v>
      </c>
      <c r="P113" s="9">
        <v>3831703.459999999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14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</row>
    <row r="114" spans="1:88" x14ac:dyDescent="0.25">
      <c r="A114" s="15"/>
      <c r="B114" s="4" t="s">
        <v>317</v>
      </c>
      <c r="C114" s="20" t="s">
        <v>294</v>
      </c>
      <c r="D114" s="6">
        <v>765</v>
      </c>
      <c r="E114" s="7">
        <v>44804</v>
      </c>
      <c r="F114" s="8">
        <v>45569</v>
      </c>
      <c r="G114" s="9">
        <v>6519257.0499999998</v>
      </c>
      <c r="H114" s="10" t="s">
        <v>98</v>
      </c>
      <c r="I114" s="10" t="s">
        <v>79</v>
      </c>
      <c r="J114" s="17" t="s">
        <v>90</v>
      </c>
      <c r="K114" s="10" t="s">
        <v>96</v>
      </c>
      <c r="L114" s="10" t="s">
        <v>316</v>
      </c>
      <c r="M114" s="12">
        <v>0</v>
      </c>
      <c r="N114" s="9">
        <v>5728240.7200000007</v>
      </c>
      <c r="O114" s="13">
        <v>0.87866465090527468</v>
      </c>
      <c r="P114" s="9">
        <v>791016.32999999914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14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</row>
    <row r="115" spans="1:88" x14ac:dyDescent="0.25">
      <c r="A115" s="15"/>
      <c r="B115" s="4" t="s">
        <v>318</v>
      </c>
      <c r="C115" s="20" t="s">
        <v>294</v>
      </c>
      <c r="D115" s="6">
        <v>540</v>
      </c>
      <c r="E115" s="7">
        <v>45189</v>
      </c>
      <c r="F115" s="8">
        <v>45729</v>
      </c>
      <c r="G115" s="9">
        <v>48302952.43</v>
      </c>
      <c r="H115" s="10" t="s">
        <v>98</v>
      </c>
      <c r="I115" s="10" t="s">
        <v>309</v>
      </c>
      <c r="J115" s="16" t="s">
        <v>85</v>
      </c>
      <c r="K115" s="10" t="s">
        <v>133</v>
      </c>
      <c r="L115" s="10" t="s">
        <v>319</v>
      </c>
      <c r="M115" s="12">
        <v>6549937.1500000004</v>
      </c>
      <c r="N115" s="9">
        <v>45858219.18</v>
      </c>
      <c r="O115" s="13">
        <v>0.94938749854798477</v>
      </c>
      <c r="P115" s="9">
        <v>2444733.25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14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</row>
    <row r="116" spans="1:88" x14ac:dyDescent="0.25">
      <c r="A116" s="15">
        <v>48</v>
      </c>
      <c r="B116" s="4" t="s">
        <v>320</v>
      </c>
      <c r="C116" s="20" t="s">
        <v>294</v>
      </c>
      <c r="D116" s="6">
        <v>150</v>
      </c>
      <c r="E116" s="7">
        <v>45894</v>
      </c>
      <c r="F116" s="8">
        <v>46044</v>
      </c>
      <c r="G116" s="9">
        <v>12432476.25</v>
      </c>
      <c r="H116" s="10" t="s">
        <v>78</v>
      </c>
      <c r="I116" s="10" t="s">
        <v>309</v>
      </c>
      <c r="J116" s="18" t="s">
        <v>160</v>
      </c>
      <c r="K116" s="10" t="s">
        <v>161</v>
      </c>
      <c r="L116" s="10" t="s">
        <v>162</v>
      </c>
      <c r="M116" s="12">
        <v>10511270.470000001</v>
      </c>
      <c r="N116" s="9">
        <v>10511270.470000001</v>
      </c>
      <c r="O116" s="13">
        <v>0.84546877537771292</v>
      </c>
      <c r="P116" s="9">
        <v>1921205.7799999993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33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</row>
    <row r="117" spans="1:88" x14ac:dyDescent="0.25">
      <c r="A117" s="15">
        <v>49</v>
      </c>
      <c r="B117" s="4" t="s">
        <v>321</v>
      </c>
      <c r="C117" s="20" t="s">
        <v>294</v>
      </c>
      <c r="D117" s="6">
        <v>1280</v>
      </c>
      <c r="E117" s="7">
        <v>44726</v>
      </c>
      <c r="F117" s="8">
        <v>46006</v>
      </c>
      <c r="G117" s="9">
        <v>59148617.810000002</v>
      </c>
      <c r="H117" s="10" t="s">
        <v>78</v>
      </c>
      <c r="I117" s="10" t="s">
        <v>309</v>
      </c>
      <c r="J117" s="16" t="s">
        <v>85</v>
      </c>
      <c r="K117" s="10" t="s">
        <v>260</v>
      </c>
      <c r="L117" s="10" t="s">
        <v>322</v>
      </c>
      <c r="M117" s="12">
        <v>9904470.2700000014</v>
      </c>
      <c r="N117" s="9">
        <v>56075179.539999992</v>
      </c>
      <c r="O117" s="13">
        <v>0.94803871360320446</v>
      </c>
      <c r="P117" s="9">
        <v>3073438.2700000107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33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</row>
    <row r="118" spans="1:88" x14ac:dyDescent="0.25">
      <c r="A118" s="15">
        <v>50</v>
      </c>
      <c r="B118" s="4" t="s">
        <v>323</v>
      </c>
      <c r="C118" s="20" t="s">
        <v>294</v>
      </c>
      <c r="D118" s="6">
        <v>210</v>
      </c>
      <c r="E118" s="7">
        <v>45897</v>
      </c>
      <c r="F118" s="8">
        <v>46107</v>
      </c>
      <c r="G118" s="9">
        <v>116500000</v>
      </c>
      <c r="H118" s="10" t="s">
        <v>78</v>
      </c>
      <c r="I118" s="10" t="s">
        <v>309</v>
      </c>
      <c r="J118" s="18" t="s">
        <v>160</v>
      </c>
      <c r="K118" s="10" t="s">
        <v>161</v>
      </c>
      <c r="L118" s="10" t="s">
        <v>322</v>
      </c>
      <c r="M118" s="12">
        <v>22022321.059999999</v>
      </c>
      <c r="N118" s="9">
        <v>22022321.059999999</v>
      </c>
      <c r="O118" s="13">
        <v>0.18903279879828325</v>
      </c>
      <c r="P118" s="9">
        <v>94477678.939999998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33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</row>
    <row r="119" spans="1:88" x14ac:dyDescent="0.25">
      <c r="A119" s="15"/>
      <c r="B119" s="4" t="s">
        <v>324</v>
      </c>
      <c r="C119" s="20" t="s">
        <v>294</v>
      </c>
      <c r="D119" s="6">
        <v>888</v>
      </c>
      <c r="E119" s="7">
        <v>44538</v>
      </c>
      <c r="F119" s="8">
        <v>45426</v>
      </c>
      <c r="G119" s="9">
        <v>24165422.120000001</v>
      </c>
      <c r="H119" s="10" t="s">
        <v>120</v>
      </c>
      <c r="I119" s="10" t="s">
        <v>309</v>
      </c>
      <c r="J119" s="18" t="s">
        <v>160</v>
      </c>
      <c r="K119" s="10" t="s">
        <v>161</v>
      </c>
      <c r="L119" s="10" t="s">
        <v>322</v>
      </c>
      <c r="M119" s="12">
        <v>0</v>
      </c>
      <c r="N119" s="9">
        <v>8398407.2300000004</v>
      </c>
      <c r="O119" s="13">
        <v>0.34753819686225285</v>
      </c>
      <c r="P119" s="9">
        <v>15767014.890000001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14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</row>
    <row r="120" spans="1:88" x14ac:dyDescent="0.25">
      <c r="A120" s="15"/>
      <c r="B120" s="4" t="s">
        <v>325</v>
      </c>
      <c r="C120" s="20" t="s">
        <v>294</v>
      </c>
      <c r="D120" s="6">
        <v>468</v>
      </c>
      <c r="E120" s="7">
        <v>44791</v>
      </c>
      <c r="F120" s="8">
        <v>45259</v>
      </c>
      <c r="G120" s="9">
        <v>3615856.15</v>
      </c>
      <c r="H120" s="10" t="s">
        <v>120</v>
      </c>
      <c r="I120" s="10" t="s">
        <v>309</v>
      </c>
      <c r="J120" s="18" t="s">
        <v>160</v>
      </c>
      <c r="K120" s="10" t="s">
        <v>161</v>
      </c>
      <c r="L120" s="10" t="s">
        <v>322</v>
      </c>
      <c r="M120" s="12">
        <v>0</v>
      </c>
      <c r="N120" s="9">
        <v>255684.46999999994</v>
      </c>
      <c r="O120" s="13">
        <v>7.0712013806190813E-2</v>
      </c>
      <c r="P120" s="9">
        <v>3360171.68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14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</row>
    <row r="121" spans="1:88" x14ac:dyDescent="0.25">
      <c r="A121" s="15">
        <v>51</v>
      </c>
      <c r="B121" s="4" t="s">
        <v>326</v>
      </c>
      <c r="C121" s="20" t="s">
        <v>294</v>
      </c>
      <c r="D121" s="6">
        <v>666</v>
      </c>
      <c r="E121" s="7">
        <v>45391</v>
      </c>
      <c r="F121" s="8">
        <v>46057</v>
      </c>
      <c r="G121" s="9">
        <v>41651255.979999997</v>
      </c>
      <c r="H121" s="10" t="s">
        <v>78</v>
      </c>
      <c r="I121" s="10" t="s">
        <v>301</v>
      </c>
      <c r="J121" s="17" t="s">
        <v>90</v>
      </c>
      <c r="K121" s="10" t="s">
        <v>91</v>
      </c>
      <c r="L121" s="10" t="s">
        <v>230</v>
      </c>
      <c r="M121" s="12">
        <v>12334165.090000002</v>
      </c>
      <c r="N121" s="9">
        <v>38738669.019999996</v>
      </c>
      <c r="O121" s="13">
        <v>0.93007204965443147</v>
      </c>
      <c r="P121" s="9">
        <v>2912586.9600000009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33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</row>
    <row r="122" spans="1:88" x14ac:dyDescent="0.25">
      <c r="A122" s="15"/>
      <c r="B122" s="4" t="s">
        <v>327</v>
      </c>
      <c r="C122" s="20" t="s">
        <v>294</v>
      </c>
      <c r="D122" s="6">
        <v>757</v>
      </c>
      <c r="E122" s="7">
        <v>44719</v>
      </c>
      <c r="F122" s="8">
        <v>45476</v>
      </c>
      <c r="G122" s="9">
        <v>14995089.279999999</v>
      </c>
      <c r="H122" s="10" t="s">
        <v>98</v>
      </c>
      <c r="I122" s="10" t="s">
        <v>99</v>
      </c>
      <c r="J122" s="17" t="s">
        <v>90</v>
      </c>
      <c r="K122" s="10" t="s">
        <v>103</v>
      </c>
      <c r="L122" s="10" t="s">
        <v>230</v>
      </c>
      <c r="M122" s="12">
        <v>0</v>
      </c>
      <c r="N122" s="9">
        <v>14985593.440000003</v>
      </c>
      <c r="O122" s="13">
        <v>0.99936673668141074</v>
      </c>
      <c r="P122" s="9">
        <v>9495.8399999961257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14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</row>
    <row r="123" spans="1:88" x14ac:dyDescent="0.25">
      <c r="A123" s="15"/>
      <c r="B123" s="4" t="s">
        <v>328</v>
      </c>
      <c r="C123" s="20" t="s">
        <v>294</v>
      </c>
      <c r="D123" s="6"/>
      <c r="E123" s="7">
        <v>45497</v>
      </c>
      <c r="F123" s="8">
        <v>45301</v>
      </c>
      <c r="G123" s="9">
        <v>15078640.210000001</v>
      </c>
      <c r="H123" s="10" t="s">
        <v>98</v>
      </c>
      <c r="I123" s="10" t="s">
        <v>79</v>
      </c>
      <c r="J123" s="16" t="s">
        <v>85</v>
      </c>
      <c r="K123" s="10" t="s">
        <v>260</v>
      </c>
      <c r="L123" s="10" t="s">
        <v>230</v>
      </c>
      <c r="M123" s="12">
        <v>0</v>
      </c>
      <c r="N123" s="9">
        <v>14660281.99</v>
      </c>
      <c r="O123" s="13">
        <v>0.97225491064356395</v>
      </c>
      <c r="P123" s="9">
        <v>418358.22000000067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14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</row>
    <row r="124" spans="1:88" x14ac:dyDescent="0.25">
      <c r="A124" s="15"/>
      <c r="B124" s="4" t="s">
        <v>329</v>
      </c>
      <c r="C124" s="20" t="s">
        <v>294</v>
      </c>
      <c r="D124" s="6">
        <v>1298</v>
      </c>
      <c r="E124" s="7">
        <v>44638</v>
      </c>
      <c r="F124" s="8">
        <v>45936</v>
      </c>
      <c r="G124" s="9">
        <v>24590858.27</v>
      </c>
      <c r="H124" s="10" t="s">
        <v>98</v>
      </c>
      <c r="I124" s="10" t="s">
        <v>309</v>
      </c>
      <c r="J124" s="18" t="s">
        <v>160</v>
      </c>
      <c r="K124" s="10" t="s">
        <v>161</v>
      </c>
      <c r="L124" s="10" t="s">
        <v>238</v>
      </c>
      <c r="M124" s="12">
        <v>1082086.6300000001</v>
      </c>
      <c r="N124" s="9">
        <v>21925638.520000003</v>
      </c>
      <c r="O124" s="13">
        <v>0.8916174571567731</v>
      </c>
      <c r="P124" s="9">
        <v>2665219.7499999963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14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</row>
    <row r="125" spans="1:88" x14ac:dyDescent="0.25">
      <c r="A125" s="15"/>
      <c r="B125" s="4" t="s">
        <v>330</v>
      </c>
      <c r="C125" s="20" t="s">
        <v>294</v>
      </c>
      <c r="D125" s="6">
        <v>602</v>
      </c>
      <c r="E125" s="7">
        <v>44791</v>
      </c>
      <c r="F125" s="8">
        <v>45393</v>
      </c>
      <c r="G125" s="9">
        <v>16932981.449999999</v>
      </c>
      <c r="H125" s="10" t="s">
        <v>120</v>
      </c>
      <c r="I125" s="10" t="s">
        <v>306</v>
      </c>
      <c r="J125" s="18" t="s">
        <v>160</v>
      </c>
      <c r="K125" s="10" t="s">
        <v>161</v>
      </c>
      <c r="L125" s="10" t="s">
        <v>331</v>
      </c>
      <c r="M125" s="12">
        <v>0</v>
      </c>
      <c r="N125" s="9">
        <v>9082408.6699999962</v>
      </c>
      <c r="O125" s="13">
        <v>0.53637386285567545</v>
      </c>
      <c r="P125" s="9">
        <v>7850572.7800000031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14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</row>
    <row r="126" spans="1:88" x14ac:dyDescent="0.25">
      <c r="A126" s="15"/>
      <c r="B126" s="4" t="s">
        <v>332</v>
      </c>
      <c r="C126" s="10" t="s">
        <v>333</v>
      </c>
      <c r="D126" s="6">
        <v>210</v>
      </c>
      <c r="E126" s="7">
        <v>44326</v>
      </c>
      <c r="F126" s="8">
        <v>44536</v>
      </c>
      <c r="G126" s="9">
        <v>1212482.21</v>
      </c>
      <c r="H126" s="10" t="s">
        <v>78</v>
      </c>
      <c r="I126" s="10"/>
      <c r="J126" s="11" t="s">
        <v>80</v>
      </c>
      <c r="K126" s="10" t="s">
        <v>182</v>
      </c>
      <c r="L126" s="10" t="s">
        <v>296</v>
      </c>
      <c r="M126" s="12">
        <v>0</v>
      </c>
      <c r="N126" s="9">
        <v>1088826.01</v>
      </c>
      <c r="O126" s="13">
        <v>0.89801400879935389</v>
      </c>
      <c r="P126" s="9">
        <v>123656.19999999995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14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</row>
    <row r="127" spans="1:88" x14ac:dyDescent="0.25">
      <c r="A127" s="15"/>
      <c r="B127" s="4" t="s">
        <v>334</v>
      </c>
      <c r="C127" s="10" t="s">
        <v>333</v>
      </c>
      <c r="D127" s="6">
        <v>880</v>
      </c>
      <c r="E127" s="7">
        <v>44449</v>
      </c>
      <c r="F127" s="8">
        <v>45329</v>
      </c>
      <c r="G127" s="9">
        <v>84484346.709999993</v>
      </c>
      <c r="H127" s="10" t="s">
        <v>120</v>
      </c>
      <c r="I127" s="10"/>
      <c r="J127" s="17" t="s">
        <v>90</v>
      </c>
      <c r="K127" s="10" t="s">
        <v>91</v>
      </c>
      <c r="L127" s="10" t="s">
        <v>87</v>
      </c>
      <c r="M127" s="12">
        <v>0</v>
      </c>
      <c r="N127" s="9">
        <v>75957961.340000018</v>
      </c>
      <c r="O127" s="13">
        <v>0.89907733560078829</v>
      </c>
      <c r="P127" s="9">
        <v>8526385.369999975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14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</row>
    <row r="128" spans="1:88" x14ac:dyDescent="0.25">
      <c r="A128" s="15"/>
      <c r="B128" s="4" t="s">
        <v>335</v>
      </c>
      <c r="C128" s="10" t="s">
        <v>333</v>
      </c>
      <c r="D128" s="6">
        <v>880</v>
      </c>
      <c r="E128" s="7">
        <v>44449</v>
      </c>
      <c r="F128" s="8">
        <v>45329</v>
      </c>
      <c r="G128" s="9">
        <v>69450000</v>
      </c>
      <c r="H128" s="10" t="s">
        <v>120</v>
      </c>
      <c r="I128" s="10"/>
      <c r="J128" s="17" t="s">
        <v>90</v>
      </c>
      <c r="K128" s="10" t="s">
        <v>91</v>
      </c>
      <c r="L128" s="10" t="s">
        <v>87</v>
      </c>
      <c r="M128" s="12">
        <v>0</v>
      </c>
      <c r="N128" s="9">
        <v>32682339.389999997</v>
      </c>
      <c r="O128" s="13">
        <v>0.4705880401727861</v>
      </c>
      <c r="P128" s="9">
        <v>36767660.609999999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14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</row>
    <row r="129" spans="1:88" x14ac:dyDescent="0.25">
      <c r="A129" s="15"/>
      <c r="B129" s="4" t="s">
        <v>336</v>
      </c>
      <c r="C129" s="10" t="s">
        <v>333</v>
      </c>
      <c r="D129" s="6">
        <v>265</v>
      </c>
      <c r="E129" s="7">
        <v>44882</v>
      </c>
      <c r="F129" s="8">
        <v>45147</v>
      </c>
      <c r="G129" s="9">
        <v>6948720.1900000004</v>
      </c>
      <c r="H129" s="10" t="s">
        <v>98</v>
      </c>
      <c r="I129" s="10"/>
      <c r="J129" s="17" t="s">
        <v>90</v>
      </c>
      <c r="K129" s="10" t="s">
        <v>96</v>
      </c>
      <c r="L129" s="10" t="s">
        <v>299</v>
      </c>
      <c r="M129" s="12">
        <v>0</v>
      </c>
      <c r="N129" s="9">
        <v>6948720.1899999995</v>
      </c>
      <c r="O129" s="13">
        <v>0.99999999999999989</v>
      </c>
      <c r="P129" s="9">
        <v>9.3132257461547852E-10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14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</row>
    <row r="130" spans="1:88" x14ac:dyDescent="0.25">
      <c r="A130" s="15"/>
      <c r="B130" s="4" t="s">
        <v>337</v>
      </c>
      <c r="C130" s="10" t="s">
        <v>333</v>
      </c>
      <c r="D130" s="6">
        <v>468</v>
      </c>
      <c r="E130" s="7">
        <v>44734</v>
      </c>
      <c r="F130" s="8">
        <v>45202</v>
      </c>
      <c r="G130" s="9">
        <v>12092480.689999999</v>
      </c>
      <c r="H130" s="10" t="s">
        <v>98</v>
      </c>
      <c r="I130" s="10"/>
      <c r="J130" s="16" t="s">
        <v>85</v>
      </c>
      <c r="K130" s="10" t="s">
        <v>133</v>
      </c>
      <c r="L130" s="10" t="s">
        <v>299</v>
      </c>
      <c r="M130" s="12">
        <v>0</v>
      </c>
      <c r="N130" s="9">
        <v>12092480.689999999</v>
      </c>
      <c r="O130" s="13">
        <v>1</v>
      </c>
      <c r="P130" s="9">
        <v>0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14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</row>
    <row r="131" spans="1:88" x14ac:dyDescent="0.25">
      <c r="A131" s="15"/>
      <c r="B131" s="4" t="s">
        <v>338</v>
      </c>
      <c r="C131" s="10" t="s">
        <v>333</v>
      </c>
      <c r="D131" s="6">
        <v>459</v>
      </c>
      <c r="E131" s="7">
        <v>44693</v>
      </c>
      <c r="F131" s="8">
        <v>45152</v>
      </c>
      <c r="G131" s="9">
        <v>6743574.04</v>
      </c>
      <c r="H131" s="10" t="s">
        <v>98</v>
      </c>
      <c r="I131" s="10"/>
      <c r="J131" s="18" t="s">
        <v>160</v>
      </c>
      <c r="K131" s="10" t="s">
        <v>161</v>
      </c>
      <c r="L131" s="10" t="s">
        <v>339</v>
      </c>
      <c r="M131" s="12">
        <v>0</v>
      </c>
      <c r="N131" s="9">
        <v>6743573.8500000006</v>
      </c>
      <c r="O131" s="13">
        <v>0.99999997182502953</v>
      </c>
      <c r="P131" s="9">
        <v>0.18999999947845936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14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</row>
    <row r="132" spans="1:88" x14ac:dyDescent="0.25">
      <c r="A132" s="15"/>
      <c r="B132" s="4" t="s">
        <v>340</v>
      </c>
      <c r="C132" s="10" t="s">
        <v>333</v>
      </c>
      <c r="D132" s="6">
        <v>694</v>
      </c>
      <c r="E132" s="7">
        <v>44536</v>
      </c>
      <c r="F132" s="8">
        <v>45230</v>
      </c>
      <c r="G132" s="9">
        <v>1332580.8600000001</v>
      </c>
      <c r="H132" s="10" t="s">
        <v>98</v>
      </c>
      <c r="I132" s="10"/>
      <c r="J132" s="11" t="s">
        <v>80</v>
      </c>
      <c r="K132" s="10" t="s">
        <v>341</v>
      </c>
      <c r="L132" s="10" t="s">
        <v>342</v>
      </c>
      <c r="M132" s="12">
        <v>0</v>
      </c>
      <c r="N132" s="9">
        <v>1285178.3600000001</v>
      </c>
      <c r="O132" s="13">
        <v>0.96442804979204044</v>
      </c>
      <c r="P132" s="9">
        <v>47402.5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14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</row>
    <row r="133" spans="1:88" x14ac:dyDescent="0.25">
      <c r="A133" s="15"/>
      <c r="B133" s="4" t="s">
        <v>343</v>
      </c>
      <c r="C133" s="10" t="s">
        <v>333</v>
      </c>
      <c r="D133" s="6"/>
      <c r="E133" s="7">
        <v>45061</v>
      </c>
      <c r="F133" s="8">
        <v>45016</v>
      </c>
      <c r="G133" s="9">
        <v>3607367.42</v>
      </c>
      <c r="H133" s="10" t="s">
        <v>98</v>
      </c>
      <c r="I133" s="10"/>
      <c r="J133" s="11" t="s">
        <v>80</v>
      </c>
      <c r="K133" s="10" t="s">
        <v>116</v>
      </c>
      <c r="L133" s="10" t="s">
        <v>114</v>
      </c>
      <c r="M133" s="12">
        <v>0</v>
      </c>
      <c r="N133" s="9">
        <v>3607318.6500000004</v>
      </c>
      <c r="O133" s="13">
        <v>0.999986480445621</v>
      </c>
      <c r="P133" s="9">
        <v>48.769999999552965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14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</row>
    <row r="134" spans="1:88" x14ac:dyDescent="0.25">
      <c r="A134" s="15"/>
      <c r="B134" s="4" t="s">
        <v>344</v>
      </c>
      <c r="C134" s="10" t="s">
        <v>333</v>
      </c>
      <c r="D134" s="6">
        <v>957</v>
      </c>
      <c r="E134" s="7">
        <v>44610</v>
      </c>
      <c r="F134" s="8">
        <v>45567</v>
      </c>
      <c r="G134" s="9">
        <v>1305890.95</v>
      </c>
      <c r="H134" s="10" t="s">
        <v>120</v>
      </c>
      <c r="I134" s="10"/>
      <c r="J134" s="18" t="s">
        <v>160</v>
      </c>
      <c r="K134" s="10" t="s">
        <v>161</v>
      </c>
      <c r="L134" s="10" t="s">
        <v>345</v>
      </c>
      <c r="M134" s="12">
        <v>0</v>
      </c>
      <c r="N134" s="9">
        <v>0</v>
      </c>
      <c r="O134" s="13">
        <v>0</v>
      </c>
      <c r="P134" s="9">
        <v>1305890.95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14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</row>
    <row r="135" spans="1:88" x14ac:dyDescent="0.25">
      <c r="A135" s="15"/>
      <c r="B135" s="4" t="s">
        <v>346</v>
      </c>
      <c r="C135" s="10" t="s">
        <v>333</v>
      </c>
      <c r="D135" s="6">
        <v>240</v>
      </c>
      <c r="E135" s="7">
        <v>46002</v>
      </c>
      <c r="F135" s="8">
        <v>46242</v>
      </c>
      <c r="G135" s="9">
        <v>27434724</v>
      </c>
      <c r="H135" s="10" t="s">
        <v>78</v>
      </c>
      <c r="I135" s="10"/>
      <c r="J135" s="16" t="s">
        <v>85</v>
      </c>
      <c r="K135" s="10" t="s">
        <v>133</v>
      </c>
      <c r="L135" s="10" t="s">
        <v>347</v>
      </c>
      <c r="M135" s="12">
        <v>13791452.859999999</v>
      </c>
      <c r="N135" s="9">
        <v>13791452.859999999</v>
      </c>
      <c r="O135" s="13">
        <v>0.50270062348722733</v>
      </c>
      <c r="P135" s="9">
        <v>13643271.140000001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14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</row>
    <row r="136" spans="1:88" x14ac:dyDescent="0.25">
      <c r="A136" s="15"/>
      <c r="B136" s="4" t="s">
        <v>348</v>
      </c>
      <c r="C136" s="10" t="s">
        <v>333</v>
      </c>
      <c r="D136" s="6">
        <v>598</v>
      </c>
      <c r="E136" s="7">
        <v>44743</v>
      </c>
      <c r="F136" s="8">
        <v>45341</v>
      </c>
      <c r="G136" s="9">
        <v>4808707.09</v>
      </c>
      <c r="H136" s="10" t="s">
        <v>98</v>
      </c>
      <c r="I136" s="10"/>
      <c r="J136" s="16" t="s">
        <v>85</v>
      </c>
      <c r="K136" s="10" t="s">
        <v>202</v>
      </c>
      <c r="L136" s="10" t="s">
        <v>349</v>
      </c>
      <c r="M136" s="12">
        <v>0</v>
      </c>
      <c r="N136" s="9">
        <v>4808707.09</v>
      </c>
      <c r="O136" s="13">
        <v>1</v>
      </c>
      <c r="P136" s="9">
        <v>0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14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</row>
    <row r="137" spans="1:88" x14ac:dyDescent="0.25">
      <c r="A137" s="15"/>
      <c r="B137" s="4" t="s">
        <v>350</v>
      </c>
      <c r="C137" s="10" t="s">
        <v>333</v>
      </c>
      <c r="D137" s="6">
        <v>406</v>
      </c>
      <c r="E137" s="7">
        <v>44767</v>
      </c>
      <c r="F137" s="8">
        <v>45173</v>
      </c>
      <c r="G137" s="9">
        <v>68148567.140000001</v>
      </c>
      <c r="H137" s="10" t="s">
        <v>98</v>
      </c>
      <c r="I137" s="10"/>
      <c r="J137" s="16" t="s">
        <v>85</v>
      </c>
      <c r="K137" s="10" t="s">
        <v>133</v>
      </c>
      <c r="L137" s="10" t="s">
        <v>351</v>
      </c>
      <c r="M137" s="12">
        <v>0</v>
      </c>
      <c r="N137" s="9">
        <v>30651574.560000002</v>
      </c>
      <c r="O137" s="13">
        <v>0.44977577440522543</v>
      </c>
      <c r="P137" s="9">
        <v>37496992.579999998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14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</row>
    <row r="138" spans="1:88" x14ac:dyDescent="0.25">
      <c r="A138" s="15"/>
      <c r="B138" s="4" t="s">
        <v>352</v>
      </c>
      <c r="C138" s="10" t="s">
        <v>333</v>
      </c>
      <c r="D138" s="6">
        <v>180</v>
      </c>
      <c r="E138" s="7">
        <v>44753</v>
      </c>
      <c r="F138" s="8">
        <v>44933</v>
      </c>
      <c r="G138" s="9">
        <v>5978542.1500000004</v>
      </c>
      <c r="H138" s="10" t="s">
        <v>98</v>
      </c>
      <c r="I138" s="10"/>
      <c r="J138" s="16" t="s">
        <v>85</v>
      </c>
      <c r="K138" s="10" t="s">
        <v>133</v>
      </c>
      <c r="L138" s="10" t="s">
        <v>353</v>
      </c>
      <c r="M138" s="12">
        <v>0</v>
      </c>
      <c r="N138" s="9">
        <v>5450476.8399999989</v>
      </c>
      <c r="O138" s="13">
        <v>0.91167323124083</v>
      </c>
      <c r="P138" s="9">
        <v>528065.31000000145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14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</row>
    <row r="139" spans="1:88" x14ac:dyDescent="0.25">
      <c r="A139" s="15"/>
      <c r="B139" s="4" t="s">
        <v>354</v>
      </c>
      <c r="C139" s="10" t="s">
        <v>333</v>
      </c>
      <c r="D139" s="6"/>
      <c r="E139" s="7"/>
      <c r="F139" s="8"/>
      <c r="G139" s="9">
        <v>11620104.779999999</v>
      </c>
      <c r="H139" s="10" t="s">
        <v>120</v>
      </c>
      <c r="I139" s="10"/>
      <c r="J139" s="18" t="s">
        <v>160</v>
      </c>
      <c r="K139" s="10" t="s">
        <v>355</v>
      </c>
      <c r="L139" s="10" t="s">
        <v>356</v>
      </c>
      <c r="M139" s="12">
        <v>0</v>
      </c>
      <c r="N139" s="9">
        <v>0</v>
      </c>
      <c r="O139" s="13">
        <v>0</v>
      </c>
      <c r="P139" s="9">
        <v>11620104.779999999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14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</row>
    <row r="140" spans="1:88" x14ac:dyDescent="0.25">
      <c r="A140" s="15"/>
      <c r="B140" s="4" t="s">
        <v>357</v>
      </c>
      <c r="C140" s="10" t="s">
        <v>333</v>
      </c>
      <c r="D140" s="6"/>
      <c r="E140" s="7">
        <v>44823</v>
      </c>
      <c r="F140" s="8">
        <v>44706</v>
      </c>
      <c r="G140" s="9">
        <v>1712576.84</v>
      </c>
      <c r="H140" s="10" t="s">
        <v>120</v>
      </c>
      <c r="I140" s="10"/>
      <c r="J140" s="11" t="s">
        <v>80</v>
      </c>
      <c r="K140" s="10" t="s">
        <v>118</v>
      </c>
      <c r="L140" s="10" t="s">
        <v>153</v>
      </c>
      <c r="M140" s="12">
        <v>0</v>
      </c>
      <c r="N140" s="9">
        <v>0</v>
      </c>
      <c r="O140" s="13">
        <v>0</v>
      </c>
      <c r="P140" s="9">
        <v>1712576.84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14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</row>
    <row r="141" spans="1:88" x14ac:dyDescent="0.25">
      <c r="A141" s="15"/>
      <c r="B141" s="4" t="s">
        <v>358</v>
      </c>
      <c r="C141" s="10" t="s">
        <v>333</v>
      </c>
      <c r="D141" s="6"/>
      <c r="E141" s="7"/>
      <c r="F141" s="8"/>
      <c r="G141" s="9">
        <v>18996888.260000002</v>
      </c>
      <c r="H141" s="10" t="s">
        <v>120</v>
      </c>
      <c r="I141" s="10"/>
      <c r="J141" s="17" t="s">
        <v>90</v>
      </c>
      <c r="K141" s="10" t="s">
        <v>96</v>
      </c>
      <c r="L141" s="10" t="s">
        <v>277</v>
      </c>
      <c r="M141" s="12">
        <v>0</v>
      </c>
      <c r="N141" s="9">
        <v>9021796.75</v>
      </c>
      <c r="O141" s="13">
        <v>0.47490918652168773</v>
      </c>
      <c r="P141" s="9">
        <v>9975091.5100000016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14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</row>
    <row r="142" spans="1:88" x14ac:dyDescent="0.25">
      <c r="A142" s="15"/>
      <c r="B142" s="4" t="s">
        <v>359</v>
      </c>
      <c r="C142" s="10" t="s">
        <v>333</v>
      </c>
      <c r="D142" s="6">
        <v>364</v>
      </c>
      <c r="E142" s="7">
        <v>44734</v>
      </c>
      <c r="F142" s="8">
        <v>45098</v>
      </c>
      <c r="G142" s="9">
        <v>11942741.09</v>
      </c>
      <c r="H142" s="10" t="s">
        <v>98</v>
      </c>
      <c r="I142" s="10"/>
      <c r="J142" s="16" t="s">
        <v>85</v>
      </c>
      <c r="K142" s="10" t="s">
        <v>133</v>
      </c>
      <c r="L142" s="10" t="s">
        <v>319</v>
      </c>
      <c r="M142" s="12">
        <v>0</v>
      </c>
      <c r="N142" s="9">
        <v>9986334.5500000007</v>
      </c>
      <c r="O142" s="13">
        <v>0.83618446341115482</v>
      </c>
      <c r="P142" s="9">
        <v>1956406.5399999991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14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</row>
    <row r="143" spans="1:88" x14ac:dyDescent="0.25">
      <c r="A143" s="15"/>
      <c r="B143" s="4" t="s">
        <v>360</v>
      </c>
      <c r="C143" s="10" t="s">
        <v>333</v>
      </c>
      <c r="D143" s="6">
        <v>405</v>
      </c>
      <c r="E143" s="7">
        <v>44769</v>
      </c>
      <c r="F143" s="8">
        <v>45174</v>
      </c>
      <c r="G143" s="9">
        <v>54913544.950000003</v>
      </c>
      <c r="H143" s="10" t="s">
        <v>98</v>
      </c>
      <c r="I143" s="10"/>
      <c r="J143" s="16" t="s">
        <v>85</v>
      </c>
      <c r="K143" s="10" t="s">
        <v>133</v>
      </c>
      <c r="L143" s="10" t="s">
        <v>158</v>
      </c>
      <c r="M143" s="12">
        <v>0</v>
      </c>
      <c r="N143" s="9">
        <v>50454918.609999999</v>
      </c>
      <c r="O143" s="13">
        <v>0.91880643757273939</v>
      </c>
      <c r="P143" s="9">
        <v>4458626.3400000036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14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</row>
    <row r="144" spans="1:88" x14ac:dyDescent="0.25">
      <c r="A144" s="15"/>
      <c r="B144" s="4" t="s">
        <v>361</v>
      </c>
      <c r="C144" s="10" t="s">
        <v>333</v>
      </c>
      <c r="D144" s="6"/>
      <c r="E144" s="7"/>
      <c r="F144" s="8">
        <v>46312</v>
      </c>
      <c r="G144" s="9">
        <v>5054505.24</v>
      </c>
      <c r="H144" s="10" t="s">
        <v>78</v>
      </c>
      <c r="I144" s="10"/>
      <c r="J144" s="16" t="s">
        <v>85</v>
      </c>
      <c r="K144" s="10" t="s">
        <v>86</v>
      </c>
      <c r="L144" s="10" t="s">
        <v>162</v>
      </c>
      <c r="M144" s="12">
        <v>0</v>
      </c>
      <c r="N144" s="9">
        <v>0</v>
      </c>
      <c r="O144" s="13">
        <v>0</v>
      </c>
      <c r="P144" s="9">
        <v>5054505.24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14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</row>
    <row r="145" spans="1:88" x14ac:dyDescent="0.25">
      <c r="A145" s="15"/>
      <c r="B145" s="4" t="s">
        <v>362</v>
      </c>
      <c r="C145" s="10" t="s">
        <v>333</v>
      </c>
      <c r="D145" s="6">
        <v>763</v>
      </c>
      <c r="E145" s="7">
        <v>44693</v>
      </c>
      <c r="F145" s="8">
        <v>45456</v>
      </c>
      <c r="G145" s="9">
        <v>2389346</v>
      </c>
      <c r="H145" s="10" t="s">
        <v>98</v>
      </c>
      <c r="I145" s="10"/>
      <c r="J145" s="18" t="s">
        <v>160</v>
      </c>
      <c r="K145" s="10" t="s">
        <v>161</v>
      </c>
      <c r="L145" s="10" t="s">
        <v>162</v>
      </c>
      <c r="M145" s="12">
        <v>0</v>
      </c>
      <c r="N145" s="9">
        <v>2389346</v>
      </c>
      <c r="O145" s="13">
        <v>1</v>
      </c>
      <c r="P145" s="9">
        <v>0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14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</row>
    <row r="146" spans="1:88" x14ac:dyDescent="0.25">
      <c r="A146" s="15"/>
      <c r="B146" s="4" t="s">
        <v>363</v>
      </c>
      <c r="C146" s="10" t="s">
        <v>333</v>
      </c>
      <c r="D146" s="6">
        <v>405</v>
      </c>
      <c r="E146" s="7">
        <v>44709</v>
      </c>
      <c r="F146" s="8">
        <v>45114</v>
      </c>
      <c r="G146" s="9">
        <v>80552394.920000002</v>
      </c>
      <c r="H146" s="10" t="s">
        <v>98</v>
      </c>
      <c r="I146" s="10"/>
      <c r="J146" s="16" t="s">
        <v>85</v>
      </c>
      <c r="K146" s="10" t="s">
        <v>133</v>
      </c>
      <c r="L146" s="10" t="s">
        <v>364</v>
      </c>
      <c r="M146" s="12">
        <v>0</v>
      </c>
      <c r="N146" s="9">
        <v>74305044.279999986</v>
      </c>
      <c r="O146" s="13">
        <v>0.92244363874960489</v>
      </c>
      <c r="P146" s="9">
        <v>6247350.6400000155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14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</row>
    <row r="147" spans="1:88" x14ac:dyDescent="0.25">
      <c r="A147" s="15"/>
      <c r="B147" s="4" t="s">
        <v>365</v>
      </c>
      <c r="C147" s="10" t="s">
        <v>333</v>
      </c>
      <c r="D147" s="6">
        <v>441</v>
      </c>
      <c r="E147" s="7">
        <v>44760</v>
      </c>
      <c r="F147" s="8">
        <v>45201</v>
      </c>
      <c r="G147" s="9">
        <v>6453162.7199999997</v>
      </c>
      <c r="H147" s="10" t="s">
        <v>98</v>
      </c>
      <c r="I147" s="10"/>
      <c r="J147" s="17" t="s">
        <v>90</v>
      </c>
      <c r="K147" s="10" t="s">
        <v>107</v>
      </c>
      <c r="L147" s="10" t="s">
        <v>366</v>
      </c>
      <c r="M147" s="12">
        <v>0</v>
      </c>
      <c r="N147" s="9">
        <v>6453162.3300000001</v>
      </c>
      <c r="O147" s="13">
        <v>0.99999993956451805</v>
      </c>
      <c r="P147" s="9">
        <v>0.38999999966472387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14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</row>
    <row r="148" spans="1:88" x14ac:dyDescent="0.25">
      <c r="A148" s="15"/>
      <c r="B148" s="4" t="s">
        <v>367</v>
      </c>
      <c r="C148" s="10" t="s">
        <v>333</v>
      </c>
      <c r="D148" s="6">
        <v>401</v>
      </c>
      <c r="E148" s="7">
        <v>44807</v>
      </c>
      <c r="F148" s="8">
        <v>45208</v>
      </c>
      <c r="G148" s="9">
        <v>37535912.649999999</v>
      </c>
      <c r="H148" s="10" t="s">
        <v>98</v>
      </c>
      <c r="I148" s="10"/>
      <c r="J148" s="17" t="s">
        <v>90</v>
      </c>
      <c r="K148" s="10" t="s">
        <v>298</v>
      </c>
      <c r="L148" s="10" t="s">
        <v>368</v>
      </c>
      <c r="M148" s="12">
        <v>0</v>
      </c>
      <c r="N148" s="9">
        <v>25313733.129999995</v>
      </c>
      <c r="O148" s="13">
        <v>0.67438704277781825</v>
      </c>
      <c r="P148" s="9">
        <v>12222179.520000003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14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</row>
    <row r="149" spans="1:88" x14ac:dyDescent="0.25">
      <c r="A149" s="15"/>
      <c r="B149" s="4" t="s">
        <v>369</v>
      </c>
      <c r="C149" s="10" t="s">
        <v>333</v>
      </c>
      <c r="D149" s="6">
        <v>231</v>
      </c>
      <c r="E149" s="7">
        <v>44753</v>
      </c>
      <c r="F149" s="8">
        <v>44984</v>
      </c>
      <c r="G149" s="9">
        <v>12679339.18</v>
      </c>
      <c r="H149" s="10" t="s">
        <v>120</v>
      </c>
      <c r="I149" s="10"/>
      <c r="J149" s="17" t="s">
        <v>90</v>
      </c>
      <c r="K149" s="10" t="s">
        <v>91</v>
      </c>
      <c r="L149" s="10" t="s">
        <v>185</v>
      </c>
      <c r="M149" s="12">
        <v>0</v>
      </c>
      <c r="N149" s="9">
        <v>133236.57999999999</v>
      </c>
      <c r="O149" s="13">
        <v>1.0508164353719891E-2</v>
      </c>
      <c r="P149" s="9">
        <v>12546102.6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14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</row>
    <row r="150" spans="1:88" x14ac:dyDescent="0.25">
      <c r="A150" s="15"/>
      <c r="B150" s="4" t="s">
        <v>370</v>
      </c>
      <c r="C150" s="10" t="s">
        <v>333</v>
      </c>
      <c r="D150" s="6">
        <v>573</v>
      </c>
      <c r="E150" s="7">
        <v>44707</v>
      </c>
      <c r="F150" s="8">
        <v>45280</v>
      </c>
      <c r="G150" s="9">
        <v>8973983.8699999992</v>
      </c>
      <c r="H150" s="10" t="s">
        <v>120</v>
      </c>
      <c r="I150" s="10"/>
      <c r="J150" s="16" t="s">
        <v>85</v>
      </c>
      <c r="K150" s="10" t="s">
        <v>195</v>
      </c>
      <c r="L150" s="10" t="s">
        <v>200</v>
      </c>
      <c r="M150" s="12">
        <v>0</v>
      </c>
      <c r="N150" s="9">
        <v>2042159.2899999998</v>
      </c>
      <c r="O150" s="13">
        <v>0.22756440390169769</v>
      </c>
      <c r="P150" s="9">
        <v>6931824.5799999991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14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</row>
    <row r="151" spans="1:88" x14ac:dyDescent="0.25">
      <c r="A151" s="15"/>
      <c r="B151" s="4" t="s">
        <v>371</v>
      </c>
      <c r="C151" s="10" t="s">
        <v>333</v>
      </c>
      <c r="D151" s="6">
        <v>336</v>
      </c>
      <c r="E151" s="7">
        <v>44903</v>
      </c>
      <c r="F151" s="8">
        <v>45239</v>
      </c>
      <c r="G151" s="9">
        <v>11928823.02</v>
      </c>
      <c r="H151" s="10" t="s">
        <v>120</v>
      </c>
      <c r="I151" s="10"/>
      <c r="J151" s="11" t="s">
        <v>80</v>
      </c>
      <c r="K151" s="10" t="s">
        <v>81</v>
      </c>
      <c r="L151" s="10" t="s">
        <v>212</v>
      </c>
      <c r="M151" s="12">
        <v>0</v>
      </c>
      <c r="N151" s="9">
        <v>4852080.3</v>
      </c>
      <c r="O151" s="13">
        <v>0.40675264373232362</v>
      </c>
      <c r="P151" s="9">
        <v>7076742.7199999997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14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</row>
    <row r="152" spans="1:88" x14ac:dyDescent="0.25">
      <c r="A152" s="15"/>
      <c r="B152" s="4" t="s">
        <v>372</v>
      </c>
      <c r="C152" s="10" t="s">
        <v>333</v>
      </c>
      <c r="D152" s="6"/>
      <c r="E152" s="7">
        <v>45195</v>
      </c>
      <c r="F152" s="8">
        <v>45121</v>
      </c>
      <c r="G152" s="9">
        <v>1498793.43</v>
      </c>
      <c r="H152" s="10" t="s">
        <v>98</v>
      </c>
      <c r="I152" s="10"/>
      <c r="J152" s="11" t="s">
        <v>80</v>
      </c>
      <c r="K152" s="10" t="s">
        <v>157</v>
      </c>
      <c r="L152" s="10" t="s">
        <v>373</v>
      </c>
      <c r="M152" s="12">
        <v>0</v>
      </c>
      <c r="N152" s="9">
        <v>1496414.32</v>
      </c>
      <c r="O152" s="13">
        <v>0.99841264983394007</v>
      </c>
      <c r="P152" s="9">
        <v>2379.1099999998696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14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</row>
    <row r="153" spans="1:88" x14ac:dyDescent="0.25">
      <c r="A153" s="15"/>
      <c r="B153" s="4" t="s">
        <v>374</v>
      </c>
      <c r="C153" s="10" t="s">
        <v>333</v>
      </c>
      <c r="D153" s="6">
        <v>180</v>
      </c>
      <c r="E153" s="7">
        <v>44816</v>
      </c>
      <c r="F153" s="8">
        <v>44996</v>
      </c>
      <c r="G153" s="9">
        <v>8995898.0500000007</v>
      </c>
      <c r="H153" s="10" t="s">
        <v>120</v>
      </c>
      <c r="I153" s="10"/>
      <c r="J153" s="16" t="s">
        <v>85</v>
      </c>
      <c r="K153" s="10" t="s">
        <v>375</v>
      </c>
      <c r="L153" s="10" t="s">
        <v>216</v>
      </c>
      <c r="M153" s="12">
        <v>0</v>
      </c>
      <c r="N153" s="9">
        <v>0</v>
      </c>
      <c r="O153" s="13">
        <v>0</v>
      </c>
      <c r="P153" s="9">
        <v>8995898.0500000007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14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</row>
    <row r="154" spans="1:88" x14ac:dyDescent="0.25">
      <c r="A154" s="15"/>
      <c r="B154" s="4" t="s">
        <v>376</v>
      </c>
      <c r="C154" s="10" t="s">
        <v>333</v>
      </c>
      <c r="D154" s="6">
        <v>0</v>
      </c>
      <c r="E154" s="7">
        <v>45034</v>
      </c>
      <c r="F154" s="8">
        <v>45034</v>
      </c>
      <c r="G154" s="9">
        <v>3552093.82</v>
      </c>
      <c r="H154" s="10" t="s">
        <v>98</v>
      </c>
      <c r="I154" s="10"/>
      <c r="J154" s="16" t="s">
        <v>85</v>
      </c>
      <c r="K154" s="10" t="s">
        <v>260</v>
      </c>
      <c r="L154" s="10" t="s">
        <v>377</v>
      </c>
      <c r="M154" s="12">
        <v>0</v>
      </c>
      <c r="N154" s="9">
        <v>3552073.1</v>
      </c>
      <c r="O154" s="13">
        <v>0.99999416682074016</v>
      </c>
      <c r="P154" s="9">
        <v>20.71999999973923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14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</row>
    <row r="155" spans="1:88" x14ac:dyDescent="0.25">
      <c r="A155" s="15"/>
      <c r="B155" s="4" t="s">
        <v>378</v>
      </c>
      <c r="C155" s="10" t="s">
        <v>333</v>
      </c>
      <c r="D155" s="6">
        <v>111</v>
      </c>
      <c r="E155" s="7">
        <v>45365</v>
      </c>
      <c r="F155" s="8">
        <v>45476</v>
      </c>
      <c r="G155" s="9">
        <v>10134014.66</v>
      </c>
      <c r="H155" s="10" t="s">
        <v>120</v>
      </c>
      <c r="I155" s="10"/>
      <c r="J155" s="17" t="s">
        <v>90</v>
      </c>
      <c r="K155" s="10" t="s">
        <v>298</v>
      </c>
      <c r="L155" s="10" t="s">
        <v>230</v>
      </c>
      <c r="M155" s="12">
        <v>0</v>
      </c>
      <c r="N155" s="9">
        <v>0</v>
      </c>
      <c r="O155" s="13">
        <v>0</v>
      </c>
      <c r="P155" s="9">
        <v>10134014.66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14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</row>
    <row r="156" spans="1:88" x14ac:dyDescent="0.25">
      <c r="A156" s="15"/>
      <c r="B156" s="4" t="s">
        <v>379</v>
      </c>
      <c r="C156" s="10" t="s">
        <v>333</v>
      </c>
      <c r="D156" s="6">
        <v>447</v>
      </c>
      <c r="E156" s="7">
        <v>44511</v>
      </c>
      <c r="F156" s="8">
        <v>44958</v>
      </c>
      <c r="G156" s="9">
        <v>22759968.59</v>
      </c>
      <c r="H156" s="10" t="s">
        <v>120</v>
      </c>
      <c r="I156" s="10"/>
      <c r="J156" s="17" t="s">
        <v>90</v>
      </c>
      <c r="K156" s="10" t="s">
        <v>91</v>
      </c>
      <c r="L156" s="10" t="s">
        <v>230</v>
      </c>
      <c r="M156" s="12">
        <v>0</v>
      </c>
      <c r="N156" s="9">
        <v>12576165.07</v>
      </c>
      <c r="O156" s="13">
        <v>0.55255634559731182</v>
      </c>
      <c r="P156" s="9">
        <v>10183803.52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14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</row>
    <row r="157" spans="1:88" x14ac:dyDescent="0.25">
      <c r="A157" s="15"/>
      <c r="B157" s="4" t="s">
        <v>380</v>
      </c>
      <c r="C157" s="10" t="s">
        <v>333</v>
      </c>
      <c r="D157" s="6">
        <v>450</v>
      </c>
      <c r="E157" s="7">
        <v>45624</v>
      </c>
      <c r="F157" s="8">
        <v>46074</v>
      </c>
      <c r="G157" s="9">
        <v>104939756.55</v>
      </c>
      <c r="H157" s="10" t="s">
        <v>78</v>
      </c>
      <c r="I157" s="10"/>
      <c r="J157" s="18" t="s">
        <v>160</v>
      </c>
      <c r="K157" s="10" t="s">
        <v>161</v>
      </c>
      <c r="L157" s="10" t="s">
        <v>381</v>
      </c>
      <c r="M157" s="12">
        <v>26360257.240000002</v>
      </c>
      <c r="N157" s="9">
        <v>26360257.240000002</v>
      </c>
      <c r="O157" s="13">
        <v>0.25119419090171319</v>
      </c>
      <c r="P157" s="9">
        <v>78579499.310000002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14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</row>
    <row r="158" spans="1:88" x14ac:dyDescent="0.25">
      <c r="A158" s="15"/>
      <c r="B158" s="4" t="s">
        <v>382</v>
      </c>
      <c r="C158" s="10" t="s">
        <v>333</v>
      </c>
      <c r="D158" s="6">
        <v>753</v>
      </c>
      <c r="E158" s="7">
        <v>44536</v>
      </c>
      <c r="F158" s="8">
        <v>45289</v>
      </c>
      <c r="G158" s="9">
        <v>5312585.57</v>
      </c>
      <c r="H158" s="10" t="s">
        <v>98</v>
      </c>
      <c r="I158" s="10"/>
      <c r="J158" s="11" t="s">
        <v>80</v>
      </c>
      <c r="K158" s="10" t="s">
        <v>81</v>
      </c>
      <c r="L158" s="10" t="s">
        <v>383</v>
      </c>
      <c r="M158" s="12">
        <v>0</v>
      </c>
      <c r="N158" s="9">
        <v>5260332.26</v>
      </c>
      <c r="O158" s="13">
        <v>0.99016424125098834</v>
      </c>
      <c r="P158" s="9">
        <v>52253.310000000522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14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</row>
    <row r="159" spans="1:88" x14ac:dyDescent="0.25">
      <c r="A159" s="15"/>
      <c r="B159" s="4" t="s">
        <v>384</v>
      </c>
      <c r="C159" s="10" t="s">
        <v>333</v>
      </c>
      <c r="D159" s="6">
        <v>404</v>
      </c>
      <c r="E159" s="7">
        <v>44804</v>
      </c>
      <c r="F159" s="8">
        <v>45208</v>
      </c>
      <c r="G159" s="9">
        <v>2994510.29</v>
      </c>
      <c r="H159" s="10" t="s">
        <v>98</v>
      </c>
      <c r="I159" s="10"/>
      <c r="J159" s="17" t="s">
        <v>90</v>
      </c>
      <c r="K159" s="10" t="s">
        <v>96</v>
      </c>
      <c r="L159" s="10" t="s">
        <v>385</v>
      </c>
      <c r="M159" s="12">
        <v>0</v>
      </c>
      <c r="N159" s="9">
        <v>2867505.09</v>
      </c>
      <c r="O159" s="13">
        <v>0.95758732223291165</v>
      </c>
      <c r="P159" s="9">
        <v>127005.20000000019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14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</row>
    <row r="160" spans="1:88" x14ac:dyDescent="0.25">
      <c r="A160" s="15"/>
      <c r="B160" s="4" t="s">
        <v>386</v>
      </c>
      <c r="C160" s="10" t="s">
        <v>333</v>
      </c>
      <c r="D160" s="6">
        <v>546</v>
      </c>
      <c r="E160" s="7">
        <v>44832</v>
      </c>
      <c r="F160" s="8">
        <v>45378</v>
      </c>
      <c r="G160" s="9">
        <v>8156656.1900000004</v>
      </c>
      <c r="H160" s="10" t="s">
        <v>98</v>
      </c>
      <c r="I160" s="10"/>
      <c r="J160" s="16" t="s">
        <v>85</v>
      </c>
      <c r="K160" s="10" t="s">
        <v>169</v>
      </c>
      <c r="L160" s="10" t="s">
        <v>250</v>
      </c>
      <c r="M160" s="12">
        <v>0</v>
      </c>
      <c r="N160" s="9">
        <v>8156656.1299999999</v>
      </c>
      <c r="O160" s="13">
        <v>0.99999999264404438</v>
      </c>
      <c r="P160" s="9">
        <v>6.0000000521540642E-2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14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</row>
    <row r="161" spans="1:88" x14ac:dyDescent="0.25">
      <c r="A161" s="15"/>
      <c r="B161" s="4" t="s">
        <v>387</v>
      </c>
      <c r="C161" s="10" t="s">
        <v>333</v>
      </c>
      <c r="D161" s="6">
        <v>215</v>
      </c>
      <c r="E161" s="7">
        <v>44783</v>
      </c>
      <c r="F161" s="8">
        <v>44998</v>
      </c>
      <c r="G161" s="9">
        <v>21672861.460000001</v>
      </c>
      <c r="H161" s="10" t="s">
        <v>120</v>
      </c>
      <c r="I161" s="10"/>
      <c r="J161" s="17" t="s">
        <v>90</v>
      </c>
      <c r="K161" s="10" t="s">
        <v>91</v>
      </c>
      <c r="L161" s="10" t="s">
        <v>257</v>
      </c>
      <c r="M161" s="12">
        <v>0</v>
      </c>
      <c r="N161" s="9">
        <v>137475.09</v>
      </c>
      <c r="O161" s="13">
        <v>0.63431905497909269</v>
      </c>
      <c r="P161" s="9">
        <v>21535386.370000001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14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</row>
    <row r="162" spans="1:88" x14ac:dyDescent="0.25">
      <c r="A162" s="15"/>
      <c r="B162" s="4" t="s">
        <v>388</v>
      </c>
      <c r="C162" s="10" t="s">
        <v>333</v>
      </c>
      <c r="D162" s="6">
        <v>380</v>
      </c>
      <c r="E162" s="7">
        <v>44564</v>
      </c>
      <c r="F162" s="8">
        <v>44944</v>
      </c>
      <c r="G162" s="9">
        <v>32836774.760000002</v>
      </c>
      <c r="H162" s="10" t="s">
        <v>98</v>
      </c>
      <c r="I162" s="10"/>
      <c r="J162" s="17" t="s">
        <v>90</v>
      </c>
      <c r="K162" s="10" t="s">
        <v>148</v>
      </c>
      <c r="L162" s="10" t="s">
        <v>257</v>
      </c>
      <c r="M162" s="12">
        <v>0</v>
      </c>
      <c r="N162" s="9">
        <v>46178509.210000001</v>
      </c>
      <c r="O162" s="13">
        <v>1</v>
      </c>
      <c r="P162" s="9">
        <v>-13341734.449999999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14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</row>
    <row r="163" spans="1:88" x14ac:dyDescent="0.25">
      <c r="A163" s="15"/>
      <c r="B163" s="4" t="s">
        <v>389</v>
      </c>
      <c r="C163" s="10" t="s">
        <v>333</v>
      </c>
      <c r="D163" s="6">
        <v>2569</v>
      </c>
      <c r="E163" s="7">
        <v>41443</v>
      </c>
      <c r="F163" s="8">
        <v>44012</v>
      </c>
      <c r="G163" s="9">
        <v>14144248.92</v>
      </c>
      <c r="H163" s="10" t="s">
        <v>120</v>
      </c>
      <c r="I163" s="10"/>
      <c r="J163" s="18" t="s">
        <v>160</v>
      </c>
      <c r="K163" s="10" t="s">
        <v>161</v>
      </c>
      <c r="L163" s="10" t="s">
        <v>390</v>
      </c>
      <c r="M163" s="12">
        <v>0</v>
      </c>
      <c r="N163" s="9">
        <v>0</v>
      </c>
      <c r="O163" s="13">
        <v>0</v>
      </c>
      <c r="P163" s="9">
        <v>14144248.92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14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</row>
    <row r="164" spans="1:88" x14ac:dyDescent="0.25">
      <c r="A164" s="15"/>
      <c r="B164" s="4" t="s">
        <v>391</v>
      </c>
      <c r="C164" s="10" t="s">
        <v>333</v>
      </c>
      <c r="D164" s="6">
        <v>550</v>
      </c>
      <c r="E164" s="7">
        <v>44840</v>
      </c>
      <c r="F164" s="8">
        <v>45390</v>
      </c>
      <c r="G164" s="9">
        <v>2394811.9500000002</v>
      </c>
      <c r="H164" s="10" t="s">
        <v>120</v>
      </c>
      <c r="I164" s="10"/>
      <c r="J164" s="16" t="s">
        <v>85</v>
      </c>
      <c r="K164" s="10" t="s">
        <v>243</v>
      </c>
      <c r="L164" s="10" t="s">
        <v>392</v>
      </c>
      <c r="M164" s="12">
        <v>0</v>
      </c>
      <c r="N164" s="9">
        <v>264324.59999999998</v>
      </c>
      <c r="O164" s="13">
        <v>0.11037384375837941</v>
      </c>
      <c r="P164" s="9">
        <v>2130487.35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14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</row>
    <row r="165" spans="1:88" x14ac:dyDescent="0.25">
      <c r="A165" s="15"/>
      <c r="B165" s="4" t="s">
        <v>393</v>
      </c>
      <c r="C165" s="10" t="s">
        <v>333</v>
      </c>
      <c r="D165" s="6">
        <v>528</v>
      </c>
      <c r="E165" s="7">
        <v>44883</v>
      </c>
      <c r="F165" s="8">
        <v>45411</v>
      </c>
      <c r="G165" s="9">
        <v>2975474.34</v>
      </c>
      <c r="H165" s="10" t="s">
        <v>98</v>
      </c>
      <c r="I165" s="10"/>
      <c r="J165" s="16" t="s">
        <v>85</v>
      </c>
      <c r="K165" s="10" t="s">
        <v>394</v>
      </c>
      <c r="L165" s="10" t="s">
        <v>395</v>
      </c>
      <c r="M165" s="12">
        <v>0</v>
      </c>
      <c r="N165" s="9">
        <v>2975297.3200000003</v>
      </c>
      <c r="O165" s="13">
        <v>0.99994050696468118</v>
      </c>
      <c r="P165" s="9">
        <v>177.01999999955297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14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</row>
    <row r="166" spans="1:88" x14ac:dyDescent="0.25">
      <c r="A166" s="15"/>
      <c r="B166" s="4" t="s">
        <v>396</v>
      </c>
      <c r="C166" s="10" t="s">
        <v>333</v>
      </c>
      <c r="D166" s="6">
        <v>271</v>
      </c>
      <c r="E166" s="7">
        <v>44911</v>
      </c>
      <c r="F166" s="8">
        <v>45182</v>
      </c>
      <c r="G166" s="9">
        <v>724764.22</v>
      </c>
      <c r="H166" s="10" t="s">
        <v>98</v>
      </c>
      <c r="I166" s="10"/>
      <c r="J166" s="11" t="s">
        <v>80</v>
      </c>
      <c r="K166" s="10" t="s">
        <v>206</v>
      </c>
      <c r="L166" s="10" t="s">
        <v>397</v>
      </c>
      <c r="M166" s="12">
        <v>0</v>
      </c>
      <c r="N166" s="9">
        <v>724764.22</v>
      </c>
      <c r="O166" s="13">
        <v>1</v>
      </c>
      <c r="P166" s="9">
        <v>0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14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</row>
    <row r="167" spans="1:88" x14ac:dyDescent="0.25">
      <c r="A167" s="15"/>
      <c r="B167" s="4" t="s">
        <v>398</v>
      </c>
      <c r="C167" s="10" t="s">
        <v>333</v>
      </c>
      <c r="D167" s="6">
        <v>670</v>
      </c>
      <c r="E167" s="7">
        <v>44742</v>
      </c>
      <c r="F167" s="8">
        <v>45412</v>
      </c>
      <c r="G167" s="9">
        <v>1988555.07</v>
      </c>
      <c r="H167" s="10" t="s">
        <v>98</v>
      </c>
      <c r="I167" s="10"/>
      <c r="J167" s="11" t="s">
        <v>80</v>
      </c>
      <c r="K167" s="10" t="s">
        <v>157</v>
      </c>
      <c r="L167" s="10" t="s">
        <v>397</v>
      </c>
      <c r="M167" s="12">
        <v>0</v>
      </c>
      <c r="N167" s="9">
        <v>1932548.6300000004</v>
      </c>
      <c r="O167" s="13">
        <v>0.97183561026549814</v>
      </c>
      <c r="P167" s="9">
        <v>56006.439999999711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14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</row>
    <row r="168" spans="1:88" x14ac:dyDescent="0.25">
      <c r="A168" s="21"/>
      <c r="B168" s="22" t="s">
        <v>399</v>
      </c>
      <c r="C168" s="23" t="s">
        <v>333</v>
      </c>
      <c r="D168" s="24">
        <v>544</v>
      </c>
      <c r="E168" s="25">
        <v>44772</v>
      </c>
      <c r="F168" s="26">
        <v>45316</v>
      </c>
      <c r="G168" s="27">
        <v>1690234.37</v>
      </c>
      <c r="H168" s="23" t="s">
        <v>98</v>
      </c>
      <c r="I168" s="23"/>
      <c r="J168" s="28" t="s">
        <v>80</v>
      </c>
      <c r="K168" s="23" t="s">
        <v>113</v>
      </c>
      <c r="L168" s="23" t="s">
        <v>397</v>
      </c>
      <c r="M168" s="29">
        <v>0</v>
      </c>
      <c r="N168" s="27">
        <v>1678310.1899999997</v>
      </c>
      <c r="O168" s="30">
        <v>0.99294525054534277</v>
      </c>
      <c r="P168" s="27">
        <v>11924.1800000004</v>
      </c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31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</row>
  </sheetData>
  <phoneticPr fontId="4" type="noConversion"/>
  <printOptions horizontalCentered="1" verticalCentered="1"/>
  <pageMargins left="0.15748031496062992" right="0.15748031496062992" top="0.27559055118110237" bottom="0.78740157480314965" header="0.15748031496062992" footer="0.31496062992125984"/>
  <pageSetup paperSize="8" scale="89" orientation="landscape" r:id="rId1"/>
  <headerFooter>
    <oddFooter>Página &amp;P de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2026-02-17T17:04:31Z</dcterms:created>
  <dcterms:modified xsi:type="dcterms:W3CDTF">2026-02-19T17:17:49Z</dcterms:modified>
</cp:coreProperties>
</file>