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19EE95D0-E642-4647-A1DF-AD3032F2013A}" xr6:coauthVersionLast="47" xr6:coauthVersionMax="47" xr10:uidLastSave="{00000000-0000-0000-0000-000000000000}"/>
  <bookViews>
    <workbookView xWindow="-120" yWindow="-120" windowWidth="29040" windowHeight="15720" xr2:uid="{BBBF8529-B758-49A3-B4A2-A11C3A60195D}"/>
  </bookViews>
  <sheets>
    <sheet name="Planilha1" sheetId="1" r:id="rId1"/>
    <sheet name="GERAL" sheetId="2" r:id="rId2"/>
  </sheets>
  <externalReferences>
    <externalReference r:id="rId3"/>
  </externalReferences>
  <definedNames>
    <definedName name="_xlnm._FilterDatabase" localSheetId="1" hidden="1">GERAL!$A$1:$L$746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44" i="1"/>
  <c r="I126" i="1"/>
  <c r="I20" i="1"/>
  <c r="I45" i="1"/>
  <c r="I14" i="1"/>
  <c r="I25" i="1"/>
  <c r="I21" i="1"/>
  <c r="I4" i="1"/>
  <c r="I46" i="1"/>
  <c r="I32" i="1"/>
  <c r="I15" i="1"/>
  <c r="I16" i="1"/>
  <c r="I47" i="1"/>
  <c r="I22" i="1"/>
  <c r="I48" i="1"/>
  <c r="I17" i="1"/>
  <c r="I49" i="1"/>
  <c r="I50" i="1"/>
  <c r="I11" i="1"/>
  <c r="I51" i="1"/>
  <c r="I5" i="1"/>
  <c r="I26" i="1"/>
  <c r="I18" i="1"/>
  <c r="I52" i="1"/>
  <c r="I19" i="1"/>
  <c r="I27" i="1"/>
  <c r="I53" i="1"/>
  <c r="I6" i="1"/>
  <c r="I28" i="1"/>
  <c r="I54" i="1"/>
  <c r="I55" i="1"/>
  <c r="I7" i="1"/>
  <c r="I118" i="1"/>
  <c r="I29" i="1"/>
  <c r="I56" i="1"/>
  <c r="I30" i="1"/>
  <c r="I57" i="1"/>
  <c r="I58" i="1"/>
  <c r="I23" i="1"/>
  <c r="I59" i="1"/>
  <c r="I60" i="1"/>
  <c r="I61" i="1"/>
  <c r="I62" i="1"/>
  <c r="I63" i="1"/>
  <c r="I64" i="1"/>
  <c r="I65" i="1"/>
  <c r="I66" i="1"/>
  <c r="I87" i="1"/>
  <c r="I12" i="1"/>
  <c r="I88" i="1"/>
  <c r="I89" i="1"/>
  <c r="I90" i="1"/>
  <c r="I119" i="1"/>
  <c r="I91" i="1"/>
  <c r="I92" i="1"/>
  <c r="I93" i="1"/>
  <c r="I94" i="1"/>
  <c r="I95" i="1"/>
  <c r="I13" i="1"/>
  <c r="I120" i="1"/>
  <c r="I121" i="1"/>
  <c r="I122" i="1"/>
  <c r="I67" i="1"/>
  <c r="I68" i="1"/>
  <c r="I123" i="1"/>
  <c r="I124" i="1"/>
  <c r="I98" i="1"/>
  <c r="I99" i="1"/>
  <c r="I100" i="1"/>
  <c r="I8" i="1"/>
  <c r="I9" i="1"/>
  <c r="I69" i="1"/>
  <c r="I127" i="1"/>
  <c r="I101" i="1"/>
  <c r="I102" i="1"/>
  <c r="I103" i="1"/>
  <c r="I104" i="1"/>
  <c r="I128" i="1"/>
  <c r="I96" i="1"/>
  <c r="I105" i="1"/>
  <c r="I70" i="1"/>
  <c r="I71" i="1"/>
  <c r="I10" i="1"/>
  <c r="I72" i="1"/>
  <c r="I106" i="1"/>
  <c r="I107" i="1"/>
  <c r="I129" i="1"/>
  <c r="I108" i="1"/>
  <c r="I109" i="1"/>
  <c r="I97" i="1"/>
  <c r="I73" i="1"/>
  <c r="I74" i="1"/>
  <c r="I110" i="1"/>
  <c r="I111" i="1"/>
  <c r="I112" i="1"/>
  <c r="I75" i="1"/>
  <c r="I76" i="1"/>
  <c r="I31" i="1"/>
  <c r="I77" i="1"/>
  <c r="I78" i="1"/>
  <c r="I79" i="1"/>
  <c r="I80" i="1"/>
  <c r="I125" i="1"/>
  <c r="I81" i="1"/>
  <c r="I130" i="1"/>
  <c r="I113" i="1"/>
  <c r="I33" i="1"/>
  <c r="I34" i="1"/>
  <c r="I83" i="1"/>
  <c r="I2" i="1"/>
  <c r="I35" i="1"/>
  <c r="I36" i="1"/>
  <c r="I37" i="1"/>
  <c r="I114" i="1"/>
  <c r="I115" i="1"/>
  <c r="I38" i="1"/>
  <c r="I116" i="1"/>
  <c r="I39" i="1"/>
  <c r="I40" i="1"/>
  <c r="I41" i="1"/>
  <c r="I84" i="1"/>
  <c r="I85" i="1"/>
  <c r="I82" i="1"/>
  <c r="I86" i="1"/>
  <c r="I117" i="1"/>
  <c r="I42" i="1"/>
  <c r="I3" i="1"/>
  <c r="I43" i="1"/>
  <c r="C24" i="1"/>
  <c r="C44" i="1"/>
  <c r="C126" i="1"/>
  <c r="C20" i="1"/>
  <c r="C45" i="1"/>
  <c r="C14" i="1"/>
  <c r="C25" i="1"/>
  <c r="C21" i="1"/>
  <c r="C4" i="1"/>
  <c r="C46" i="1"/>
  <c r="C32" i="1"/>
  <c r="C15" i="1"/>
  <c r="C16" i="1"/>
  <c r="C47" i="1"/>
  <c r="C22" i="1"/>
  <c r="C48" i="1"/>
  <c r="C17" i="1"/>
  <c r="C49" i="1"/>
  <c r="C50" i="1"/>
  <c r="C11" i="1"/>
  <c r="C51" i="1"/>
  <c r="C5" i="1"/>
  <c r="C26" i="1"/>
  <c r="C18" i="1"/>
  <c r="C52" i="1"/>
  <c r="C19" i="1"/>
  <c r="C27" i="1"/>
  <c r="C53" i="1"/>
  <c r="C6" i="1"/>
  <c r="C28" i="1"/>
  <c r="C54" i="1"/>
  <c r="C55" i="1"/>
  <c r="C7" i="1"/>
  <c r="C118" i="1"/>
  <c r="C29" i="1"/>
  <c r="C56" i="1"/>
  <c r="C30" i="1"/>
  <c r="C57" i="1"/>
  <c r="C58" i="1"/>
  <c r="C23" i="1"/>
  <c r="C59" i="1"/>
  <c r="C60" i="1"/>
  <c r="C61" i="1"/>
  <c r="C62" i="1"/>
  <c r="C63" i="1"/>
  <c r="C64" i="1"/>
  <c r="C65" i="1"/>
  <c r="C66" i="1"/>
  <c r="C87" i="1"/>
  <c r="C12" i="1"/>
  <c r="C88" i="1"/>
  <c r="C89" i="1"/>
  <c r="C90" i="1"/>
  <c r="C119" i="1"/>
  <c r="C91" i="1"/>
  <c r="C92" i="1"/>
  <c r="C93" i="1"/>
  <c r="C94" i="1"/>
  <c r="C95" i="1"/>
  <c r="C13" i="1"/>
  <c r="C120" i="1"/>
  <c r="C121" i="1"/>
  <c r="C122" i="1"/>
  <c r="C67" i="1"/>
  <c r="C68" i="1"/>
  <c r="C123" i="1"/>
  <c r="C124" i="1"/>
  <c r="C98" i="1"/>
  <c r="C99" i="1"/>
  <c r="C100" i="1"/>
  <c r="C8" i="1"/>
  <c r="C9" i="1"/>
  <c r="C69" i="1"/>
  <c r="C127" i="1"/>
  <c r="C101" i="1"/>
  <c r="C102" i="1"/>
  <c r="C103" i="1"/>
  <c r="C104" i="1"/>
  <c r="C128" i="1"/>
  <c r="C96" i="1"/>
  <c r="C105" i="1"/>
  <c r="C70" i="1"/>
  <c r="C71" i="1"/>
  <c r="C10" i="1"/>
  <c r="C72" i="1"/>
  <c r="C106" i="1"/>
  <c r="C107" i="1"/>
  <c r="C129" i="1"/>
  <c r="C108" i="1"/>
  <c r="C109" i="1"/>
  <c r="C97" i="1"/>
  <c r="C73" i="1"/>
  <c r="C74" i="1"/>
  <c r="C110" i="1"/>
  <c r="C111" i="1"/>
  <c r="C112" i="1"/>
  <c r="C75" i="1"/>
  <c r="C76" i="1"/>
  <c r="C31" i="1"/>
  <c r="C77" i="1"/>
  <c r="C78" i="1"/>
  <c r="C79" i="1"/>
  <c r="C80" i="1"/>
  <c r="C125" i="1"/>
  <c r="C81" i="1"/>
  <c r="C130" i="1"/>
  <c r="C113" i="1"/>
  <c r="C33" i="1"/>
  <c r="C34" i="1"/>
  <c r="C83" i="1"/>
  <c r="C2" i="1"/>
  <c r="C35" i="1"/>
  <c r="C36" i="1"/>
  <c r="C37" i="1"/>
  <c r="C114" i="1"/>
  <c r="C115" i="1"/>
  <c r="C38" i="1"/>
  <c r="C116" i="1"/>
  <c r="C39" i="1"/>
  <c r="C40" i="1"/>
  <c r="C41" i="1"/>
  <c r="C84" i="1"/>
  <c r="C85" i="1"/>
  <c r="C82" i="1"/>
  <c r="C86" i="1"/>
  <c r="C117" i="1"/>
  <c r="C42" i="1"/>
  <c r="C3" i="1"/>
  <c r="C43" i="1"/>
  <c r="B24" i="1"/>
  <c r="B44" i="1"/>
  <c r="B126" i="1"/>
  <c r="B20" i="1"/>
  <c r="B45" i="1"/>
  <c r="B14" i="1"/>
  <c r="B25" i="1"/>
  <c r="B21" i="1"/>
  <c r="B4" i="1"/>
  <c r="B46" i="1"/>
  <c r="B32" i="1"/>
  <c r="B15" i="1"/>
  <c r="B16" i="1"/>
  <c r="B47" i="1"/>
  <c r="B22" i="1"/>
  <c r="B48" i="1"/>
  <c r="B17" i="1"/>
  <c r="B49" i="1"/>
  <c r="B50" i="1"/>
  <c r="B11" i="1"/>
  <c r="B51" i="1"/>
  <c r="B5" i="1"/>
  <c r="B26" i="1"/>
  <c r="B18" i="1"/>
  <c r="B52" i="1"/>
  <c r="B19" i="1"/>
  <c r="B27" i="1"/>
  <c r="B53" i="1"/>
  <c r="B6" i="1"/>
  <c r="B28" i="1"/>
  <c r="B54" i="1"/>
  <c r="B55" i="1"/>
  <c r="B7" i="1"/>
  <c r="B118" i="1"/>
  <c r="B29" i="1"/>
  <c r="B56" i="1"/>
  <c r="B30" i="1"/>
  <c r="B57" i="1"/>
  <c r="B58" i="1"/>
  <c r="B23" i="1"/>
  <c r="B59" i="1"/>
  <c r="B60" i="1"/>
  <c r="B61" i="1"/>
  <c r="B62" i="1"/>
  <c r="B63" i="1"/>
  <c r="B64" i="1"/>
  <c r="B65" i="1"/>
  <c r="B66" i="1"/>
  <c r="B87" i="1"/>
  <c r="B12" i="1"/>
  <c r="B88" i="1"/>
  <c r="B89" i="1"/>
  <c r="B90" i="1"/>
  <c r="B119" i="1"/>
  <c r="B91" i="1"/>
  <c r="B92" i="1"/>
  <c r="B93" i="1"/>
  <c r="B94" i="1"/>
  <c r="B95" i="1"/>
  <c r="B13" i="1"/>
  <c r="B120" i="1"/>
  <c r="B121" i="1"/>
  <c r="B122" i="1"/>
  <c r="B67" i="1"/>
  <c r="B68" i="1"/>
  <c r="B123" i="1"/>
  <c r="B124" i="1"/>
  <c r="B98" i="1"/>
  <c r="B99" i="1"/>
  <c r="B100" i="1"/>
  <c r="B8" i="1"/>
  <c r="B9" i="1"/>
  <c r="B69" i="1"/>
  <c r="B127" i="1"/>
  <c r="B101" i="1"/>
  <c r="B102" i="1"/>
  <c r="B103" i="1"/>
  <c r="B104" i="1"/>
  <c r="B128" i="1"/>
  <c r="B96" i="1"/>
  <c r="B105" i="1"/>
  <c r="B70" i="1"/>
  <c r="B71" i="1"/>
  <c r="B10" i="1"/>
  <c r="B72" i="1"/>
  <c r="B106" i="1"/>
  <c r="B107" i="1"/>
  <c r="B129" i="1"/>
  <c r="B108" i="1"/>
  <c r="B109" i="1"/>
  <c r="B97" i="1"/>
  <c r="B73" i="1"/>
  <c r="B74" i="1"/>
  <c r="B110" i="1"/>
  <c r="B111" i="1"/>
  <c r="B112" i="1"/>
  <c r="B75" i="1"/>
  <c r="B76" i="1"/>
  <c r="B31" i="1"/>
  <c r="B77" i="1"/>
  <c r="B78" i="1"/>
  <c r="B79" i="1"/>
  <c r="B80" i="1"/>
  <c r="B125" i="1"/>
  <c r="B81" i="1"/>
  <c r="B130" i="1"/>
  <c r="B113" i="1"/>
  <c r="B33" i="1"/>
  <c r="B34" i="1"/>
  <c r="B83" i="1"/>
  <c r="B2" i="1"/>
  <c r="B35" i="1"/>
  <c r="B36" i="1"/>
  <c r="B37" i="1"/>
  <c r="B114" i="1"/>
  <c r="B115" i="1"/>
  <c r="B38" i="1"/>
  <c r="B116" i="1"/>
  <c r="B39" i="1"/>
  <c r="B40" i="1"/>
  <c r="B41" i="1"/>
  <c r="B84" i="1"/>
  <c r="B85" i="1"/>
  <c r="B82" i="1"/>
  <c r="B86" i="1"/>
  <c r="B117" i="1"/>
  <c r="B42" i="1"/>
  <c r="B3" i="1"/>
  <c r="B43" i="1"/>
  <c r="B1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G12" authorId="0" shapeId="0" xr:uid="{6258A9D5-B17F-460E-A65E-9A20F9CA7600}">
      <text>
        <r>
          <rPr>
            <b/>
            <sz val="9"/>
            <color indexed="81"/>
            <rFont val="Segoe UI"/>
            <family val="2"/>
          </rPr>
          <t>MARCELO:
aceite definitivo publicado em 12/05/25 fazer termo de entrega</t>
        </r>
      </text>
    </comment>
    <comment ref="G52" authorId="0" shapeId="0" xr:uid="{1306D029-73F4-4811-BFE2-2642A57646B5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G53" authorId="0" shapeId="0" xr:uid="{F0C2CE56-5DA5-4CAB-890F-B88765DE560A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G70" authorId="0" shapeId="0" xr:uid="{5EF9AC9D-422C-4208-B4B8-13A75698B926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73" authorId="0" shapeId="0" xr:uid="{D413E935-A416-4C5E-BBD9-81DB3D77637E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para aceite definitivo pedida em 03/07</t>
        </r>
      </text>
    </comment>
    <comment ref="G96" authorId="0" shapeId="0" xr:uid="{901136FD-F314-446A-99B9-EC1D06938B4B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97" authorId="0" shapeId="0" xr:uid="{665AC98D-BFEB-4E05-9F59-5BFDB1A0BA8F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126" authorId="0" shapeId="0" xr:uid="{21D6F6B2-136D-4A3A-973C-9086B227127D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</commentList>
</comments>
</file>

<file path=xl/sharedStrings.xml><?xml version="1.0" encoding="utf-8"?>
<sst xmlns="http://schemas.openxmlformats.org/spreadsheetml/2006/main" count="5854" uniqueCount="2041">
  <si>
    <t>SEI</t>
  </si>
  <si>
    <t>FISCAL NOMEADO</t>
  </si>
  <si>
    <t>STATUS</t>
  </si>
  <si>
    <t>MUNICIPIO</t>
  </si>
  <si>
    <t>EMPRESA</t>
  </si>
  <si>
    <t>330018/001025/2021</t>
  </si>
  <si>
    <t>NICHOLAS TAVARES / ARLINDO BASILIO</t>
  </si>
  <si>
    <t>EXECUÇÃO</t>
  </si>
  <si>
    <t>DUQUE DE CAXIAS</t>
  </si>
  <si>
    <t>ACA</t>
  </si>
  <si>
    <t>330018/000190/2022</t>
  </si>
  <si>
    <t>CAIO / LUIZ FILHO</t>
  </si>
  <si>
    <t>CONCLUIDA</t>
  </si>
  <si>
    <t>BRASFORM</t>
  </si>
  <si>
    <t>330018/000568/2021</t>
  </si>
  <si>
    <t>CAIO</t>
  </si>
  <si>
    <t>ACEITE PROVISORIO</t>
  </si>
  <si>
    <t>JAPERI</t>
  </si>
  <si>
    <t>CMAX</t>
  </si>
  <si>
    <t>330018/000052/2022</t>
  </si>
  <si>
    <t>NICHOLAS TAVARES / MAURÍCIO</t>
  </si>
  <si>
    <t>DISTRATO</t>
  </si>
  <si>
    <t>CONE ENGª</t>
  </si>
  <si>
    <t>170026/002777/2021</t>
  </si>
  <si>
    <t>OSVALDO NETO</t>
  </si>
  <si>
    <t>CONS. SÃO JOSÉ - HY./ MED.</t>
  </si>
  <si>
    <t>170026/000538/2022</t>
  </si>
  <si>
    <t>JEHNIFFER PIRES / WASHINGTON</t>
  </si>
  <si>
    <t>PETROPOLIS</t>
  </si>
  <si>
    <t>CONSÓRCIO ECONORTE GEOSONDA</t>
  </si>
  <si>
    <t>170026/001548/2021</t>
  </si>
  <si>
    <t>SÃO JOÃO DE MERITI</t>
  </si>
  <si>
    <t>CONSÓRCIO SÃO JOÃO</t>
  </si>
  <si>
    <t>330018/000227/2022</t>
  </si>
  <si>
    <t>MAURÍCIO</t>
  </si>
  <si>
    <t xml:space="preserve">CONSTRUTEC </t>
  </si>
  <si>
    <t>170026/000230/2022</t>
  </si>
  <si>
    <t>ARLINDO BASILIO / OSVALDO NETO</t>
  </si>
  <si>
    <t>#CONCLUIDA</t>
  </si>
  <si>
    <t>NOVA IGUAÇÚ</t>
  </si>
  <si>
    <t>DRATEC</t>
  </si>
  <si>
    <t>170026/001611/2020</t>
  </si>
  <si>
    <t>MANGARATIBA</t>
  </si>
  <si>
    <t>GONÇALVES NEVES</t>
  </si>
  <si>
    <t>330018/000333/2022</t>
  </si>
  <si>
    <t>SUSPENSA</t>
  </si>
  <si>
    <t>MAGÉ</t>
  </si>
  <si>
    <t>GRAVISA</t>
  </si>
  <si>
    <t>330018/001303/2022</t>
  </si>
  <si>
    <t>NICHOLAS TAVARES / OTAVIO FEITOSA</t>
  </si>
  <si>
    <t>CONSTRUTEC</t>
  </si>
  <si>
    <t>330018/001054/2021</t>
  </si>
  <si>
    <t>QUEIMADOS</t>
  </si>
  <si>
    <t>HYDRA</t>
  </si>
  <si>
    <t>330018/001315/2022</t>
  </si>
  <si>
    <t>330001/001441/2024</t>
  </si>
  <si>
    <t>CONSTRUTORA AXIAL LTDA</t>
  </si>
  <si>
    <t>330018/001076/2021</t>
  </si>
  <si>
    <t>LUCIANA POSTIÇO / ARLINDO BASILIO</t>
  </si>
  <si>
    <t xml:space="preserve">HYDRA </t>
  </si>
  <si>
    <t>170026/002217/2021</t>
  </si>
  <si>
    <t>MAURO / CAIO</t>
  </si>
  <si>
    <t>MACAÉ</t>
  </si>
  <si>
    <t xml:space="preserve">KROFMAN </t>
  </si>
  <si>
    <t>170026/000122/2022</t>
  </si>
  <si>
    <t>PARAÍBA DO SUL</t>
  </si>
  <si>
    <t>HJ RODRIGUES</t>
  </si>
  <si>
    <t>170026/001549/2020</t>
  </si>
  <si>
    <t>ABBM</t>
  </si>
  <si>
    <t>E-17/001/2008/2014</t>
  </si>
  <si>
    <t>NICHOLAS TAVARES</t>
  </si>
  <si>
    <t>ACEITE DEFINITIVO</t>
  </si>
  <si>
    <t>170026/000318/2022</t>
  </si>
  <si>
    <t>ARLINDO BASILIO / OTAVIO FEITOSA</t>
  </si>
  <si>
    <t>LYTORANEA</t>
  </si>
  <si>
    <t>460001/000821/2023</t>
  </si>
  <si>
    <t>330001/002122/2024</t>
  </si>
  <si>
    <t>170026/000772/2022</t>
  </si>
  <si>
    <t>MACIEL</t>
  </si>
  <si>
    <t>330018/001363/2022</t>
  </si>
  <si>
    <t>LUCIANA POSTIÇO / OSVALDO NETO</t>
  </si>
  <si>
    <t>MJRE</t>
  </si>
  <si>
    <t>330018/000711/2021</t>
  </si>
  <si>
    <t>LUIZ FILHO / JOÃO RODRIGUES</t>
  </si>
  <si>
    <t>NILÓPOLIS</t>
  </si>
  <si>
    <t>330018/001041/2021</t>
  </si>
  <si>
    <t>ÔMEGA</t>
  </si>
  <si>
    <t>330018/001141/2022</t>
  </si>
  <si>
    <t>LUCIANA POSTIÇO / NICHOLAS TAVARES</t>
  </si>
  <si>
    <t>460001/000827/2023</t>
  </si>
  <si>
    <t>NICHOLAS TAVARES / OSVALDO NETO</t>
  </si>
  <si>
    <t>330018/000107/2022</t>
  </si>
  <si>
    <t>ORIENTE LTDA</t>
  </si>
  <si>
    <t>330018/000730/2021</t>
  </si>
  <si>
    <t>MONJARDIN</t>
  </si>
  <si>
    <t>170026/001967/2021</t>
  </si>
  <si>
    <t>RIO CLARO</t>
  </si>
  <si>
    <t>NF</t>
  </si>
  <si>
    <t>330018/001213/2022</t>
  </si>
  <si>
    <t>BELFORD ROXO</t>
  </si>
  <si>
    <t>SEEL</t>
  </si>
  <si>
    <t>170026/001837/2022</t>
  </si>
  <si>
    <t>MIGUEL PEREIRA</t>
  </si>
  <si>
    <t>PETROPUMP</t>
  </si>
  <si>
    <t>330018/001148/2022</t>
  </si>
  <si>
    <t>STATLED BRASIL</t>
  </si>
  <si>
    <t>330018/000887/2022</t>
  </si>
  <si>
    <t>330001/001344/2025</t>
  </si>
  <si>
    <t>RIO DE JANEIRO</t>
  </si>
  <si>
    <t>FAB MIX CONCRETOS LTDA</t>
  </si>
  <si>
    <t>330018/000843/2021</t>
  </si>
  <si>
    <t>330018/001440/2022</t>
  </si>
  <si>
    <t>ANDREIA VASQUES / ISADORA ROSALINO</t>
  </si>
  <si>
    <t>330018/001159/2022</t>
  </si>
  <si>
    <t>330018/001069/2021</t>
  </si>
  <si>
    <t>VALLE SUL</t>
  </si>
  <si>
    <t>330001/001282/2024</t>
  </si>
  <si>
    <t>ARLINDO BASILIO / NICHOLAS TAVARES</t>
  </si>
  <si>
    <t>CTESA CONSTRUÇÕES</t>
  </si>
  <si>
    <t>330018/000530/2022</t>
  </si>
  <si>
    <t>ORIENTE</t>
  </si>
  <si>
    <t>330018/000675/2022</t>
  </si>
  <si>
    <t>STATLED</t>
  </si>
  <si>
    <t>330001/001680/2024</t>
  </si>
  <si>
    <t>RIO DAS FLORES</t>
  </si>
  <si>
    <t>R. RITA</t>
  </si>
  <si>
    <t>330018/000567/2021</t>
  </si>
  <si>
    <t>330018/000698/2021</t>
  </si>
  <si>
    <t>330018/000529/2022</t>
  </si>
  <si>
    <t>SANTA LUZIA</t>
  </si>
  <si>
    <t>REGIÃO</t>
  </si>
  <si>
    <t>BX</t>
  </si>
  <si>
    <t>330018/000619/2021</t>
  </si>
  <si>
    <t>JEHNIFFER PIRES / ANDREIA VASQUES</t>
  </si>
  <si>
    <t>CAMPOS</t>
  </si>
  <si>
    <t xml:space="preserve">PARQUE SARAIVA </t>
  </si>
  <si>
    <t>330018/000480/2022</t>
  </si>
  <si>
    <t>CAIO / JOÃO RODRIGUES</t>
  </si>
  <si>
    <t>SÃO JOSÉ DE UBÁ</t>
  </si>
  <si>
    <t xml:space="preserve">CTESA </t>
  </si>
  <si>
    <t>330018/000694/2021</t>
  </si>
  <si>
    <t xml:space="preserve">IMBEG </t>
  </si>
  <si>
    <t>330018/000695/2021</t>
  </si>
  <si>
    <t xml:space="preserve">ACA </t>
  </si>
  <si>
    <t>330018/000696/2021</t>
  </si>
  <si>
    <t xml:space="preserve">NOVO MUNDO </t>
  </si>
  <si>
    <t>170026/002043/2021</t>
  </si>
  <si>
    <t>LIVIA ALVIM / ANDREIA VASQUES</t>
  </si>
  <si>
    <t>METROPOLITANA</t>
  </si>
  <si>
    <t>170026/001792/2021</t>
  </si>
  <si>
    <t>TERESOPOLIS</t>
  </si>
  <si>
    <t xml:space="preserve">JKN </t>
  </si>
  <si>
    <t>170026/003264/2021</t>
  </si>
  <si>
    <t>LIVIA ALVIM</t>
  </si>
  <si>
    <t>ARARUAMA</t>
  </si>
  <si>
    <t>OMEGA</t>
  </si>
  <si>
    <t>170026/002183/2021</t>
  </si>
  <si>
    <t>CARDOSO DE MORAES</t>
  </si>
  <si>
    <t>R.C. VIEIRA</t>
  </si>
  <si>
    <t>170026/001772/2022</t>
  </si>
  <si>
    <t>CONCEIÇÃO DE MACABU</t>
  </si>
  <si>
    <t xml:space="preserve">PETROPUMP </t>
  </si>
  <si>
    <t>330018/001380/2022</t>
  </si>
  <si>
    <t>IGUABA GRANDE</t>
  </si>
  <si>
    <t xml:space="preserve">FLUMINENSE </t>
  </si>
  <si>
    <t>330018/000982/2021</t>
  </si>
  <si>
    <t>CAIO / ARLINDO BASILIO</t>
  </si>
  <si>
    <t>NOVA FRIBURGO</t>
  </si>
  <si>
    <t xml:space="preserve">SOLOTESTE </t>
  </si>
  <si>
    <t>330018/000156/2022</t>
  </si>
  <si>
    <t>ISADORA ROSALINO / ANDREIA VASQUES</t>
  </si>
  <si>
    <t xml:space="preserve">VILA DOS PESCADORES </t>
  </si>
  <si>
    <t>460001/001990/2023</t>
  </si>
  <si>
    <t>CARDOSO MOREIRA</t>
  </si>
  <si>
    <t>PREST RIO CONSTRUÇÕES E SERVIÇOS Ltda</t>
  </si>
  <si>
    <t>330018/000085/2022</t>
  </si>
  <si>
    <t>ITAPERUNA</t>
  </si>
  <si>
    <t xml:space="preserve">CONSTRUSAN </t>
  </si>
  <si>
    <t>330018/001070/2021</t>
  </si>
  <si>
    <t>SÃO FRANCISCO DO ITABAPOANA</t>
  </si>
  <si>
    <t xml:space="preserve">CONPLAN </t>
  </si>
  <si>
    <t>330018/000930/2021</t>
  </si>
  <si>
    <t>CASIMIRO DE ABREU</t>
  </si>
  <si>
    <t>330018/000658/2022</t>
  </si>
  <si>
    <t>SÃO SEBASTIÃO DO ALTO</t>
  </si>
  <si>
    <t>330001/001345/2025</t>
  </si>
  <si>
    <t>ANDREIA VASQUES / LUCIANA POSTIÇO</t>
  </si>
  <si>
    <t>CAMPOS DOS GOYTACAZES</t>
  </si>
  <si>
    <t>FAB MIX CONCRETOS</t>
  </si>
  <si>
    <t>NT</t>
  </si>
  <si>
    <t>330018/001109/2022</t>
  </si>
  <si>
    <t>LUCIANA POSTIÇO / LEANDRO RAMOS</t>
  </si>
  <si>
    <t>BARRA MANSA</t>
  </si>
  <si>
    <t>460001/001617/2023</t>
  </si>
  <si>
    <t>NICHOLAS TAVARES / HIGOR MARTINS</t>
  </si>
  <si>
    <t>VASSOURAS</t>
  </si>
  <si>
    <t>IPHAN</t>
  </si>
  <si>
    <t>330018/000053/2023</t>
  </si>
  <si>
    <t>ABRE CONSTRUÇÕES LTDA</t>
  </si>
  <si>
    <t>330018/000737/2022</t>
  </si>
  <si>
    <t>JOÃO RODRIGUES / LEANDRO RAMOS</t>
  </si>
  <si>
    <t>MENDES</t>
  </si>
  <si>
    <t xml:space="preserve">CMHR </t>
  </si>
  <si>
    <t>330018/000931/2021</t>
  </si>
  <si>
    <t>PORTO REAL</t>
  </si>
  <si>
    <t>COMAL</t>
  </si>
  <si>
    <t>170026/002680/2021</t>
  </si>
  <si>
    <t>OSVALDO NETO/ ARLINDO BASILIO</t>
  </si>
  <si>
    <t>QUATIS</t>
  </si>
  <si>
    <t>330018/000732/2021</t>
  </si>
  <si>
    <t>ARLINDO BASILIO / JOÃO RODRIGUES</t>
  </si>
  <si>
    <t>RESENDE</t>
  </si>
  <si>
    <t>170026/002017/2021</t>
  </si>
  <si>
    <t>DE SÁ</t>
  </si>
  <si>
    <t>330018/000697/2021</t>
  </si>
  <si>
    <t>330018/000699/2021</t>
  </si>
  <si>
    <t>CMAX (oficio Acessibilidade)</t>
  </si>
  <si>
    <t>330018/000630/2021</t>
  </si>
  <si>
    <t>VOLTA REDONDA</t>
  </si>
  <si>
    <t>DEMOB 1</t>
  </si>
  <si>
    <t>330018/000066/2022</t>
  </si>
  <si>
    <t>JOÃO RODRIGUES / CAIO</t>
  </si>
  <si>
    <t>LEVY GASPARIAN</t>
  </si>
  <si>
    <t>FARO LTDA</t>
  </si>
  <si>
    <t>330018/000244/2022</t>
  </si>
  <si>
    <t>NICHOLAS TAVARES / MAURICIO</t>
  </si>
  <si>
    <t>VALENÇA</t>
  </si>
  <si>
    <t>330001/000715/2024</t>
  </si>
  <si>
    <t>330018/001015/2022</t>
  </si>
  <si>
    <t>LUIZ FILHO / NICHOLAS TAVARES</t>
  </si>
  <si>
    <t>170026/001641/2021</t>
  </si>
  <si>
    <t>JKN ASSESSORIA</t>
  </si>
  <si>
    <t>170026/003250/2021</t>
  </si>
  <si>
    <t>330018/001087/2021</t>
  </si>
  <si>
    <t>ARLINDO BASILIO / LEANDRO RAMOS</t>
  </si>
  <si>
    <t>MACADAME</t>
  </si>
  <si>
    <t>170026/001908/2021</t>
  </si>
  <si>
    <t>MIDAS</t>
  </si>
  <si>
    <t>330018/000681/2021</t>
  </si>
  <si>
    <t>DEMOB 2</t>
  </si>
  <si>
    <t>330018/000748/2022</t>
  </si>
  <si>
    <t>JOÃO RODRIGUES</t>
  </si>
  <si>
    <t>BARRA DO PIRAÍ</t>
  </si>
  <si>
    <t>330018/000569/2021</t>
  </si>
  <si>
    <t>DEMOB 3</t>
  </si>
  <si>
    <t>330001/000538/2024</t>
  </si>
  <si>
    <t>PLENAPLAN CONSTRUTORA LTDA</t>
  </si>
  <si>
    <t>330018/001392/2022</t>
  </si>
  <si>
    <t>330018/000960/2021</t>
  </si>
  <si>
    <t>330018/000425/2022</t>
  </si>
  <si>
    <t>LUCIANA POSTIÇO / JOÃO RODRIGUES</t>
  </si>
  <si>
    <t>PATY DE ALFERES</t>
  </si>
  <si>
    <t>VALPLAT</t>
  </si>
  <si>
    <t>330018/001062/2022</t>
  </si>
  <si>
    <t>460001/002050/2023</t>
  </si>
  <si>
    <t>PINHEIRAL</t>
  </si>
  <si>
    <t>ERWIL</t>
  </si>
  <si>
    <t>330001/001080/2025</t>
  </si>
  <si>
    <t>AXIAL</t>
  </si>
  <si>
    <t>SL</t>
  </si>
  <si>
    <t>330001/001217/2024</t>
  </si>
  <si>
    <t>CONS MENDES / KLABIN</t>
  </si>
  <si>
    <t>330018/000245/2022</t>
  </si>
  <si>
    <t>RIO BONITO</t>
  </si>
  <si>
    <t>ENEX CONSTRUÇÕES LTDA</t>
  </si>
  <si>
    <t>330001/001081/2025</t>
  </si>
  <si>
    <t>SOLVE CONSULTORIA</t>
  </si>
  <si>
    <t>330001/001278/2024</t>
  </si>
  <si>
    <t>NILOPOLIS</t>
  </si>
  <si>
    <t>SOLOTESTE</t>
  </si>
  <si>
    <t>330001/001280/2024</t>
  </si>
  <si>
    <t>330018/000421/2023</t>
  </si>
  <si>
    <t>ECONORTE</t>
  </si>
  <si>
    <t>330001/001275/2024</t>
  </si>
  <si>
    <t>MARENGE</t>
  </si>
  <si>
    <t>E-17/001/219/2018</t>
  </si>
  <si>
    <t>BOM JARDIM</t>
  </si>
  <si>
    <t>SOPE ENGENHARIA</t>
  </si>
  <si>
    <t>330001/001337/2025</t>
  </si>
  <si>
    <t>DRV</t>
  </si>
  <si>
    <t>CONT</t>
  </si>
  <si>
    <t>390005/000096/2021</t>
  </si>
  <si>
    <t/>
  </si>
  <si>
    <t xml:space="preserve">ABBM </t>
  </si>
  <si>
    <t>170026/001374/2022</t>
  </si>
  <si>
    <t>ANGRA DOS REIS</t>
  </si>
  <si>
    <t>BARRA NOVA</t>
  </si>
  <si>
    <t>E-17/026/0056/2020</t>
  </si>
  <si>
    <t>NOVA IGUAÇU</t>
  </si>
  <si>
    <t>BIG FARM</t>
  </si>
  <si>
    <t>330001/000097/2024</t>
  </si>
  <si>
    <t>OSVALDO NETO / DANRLEI GOMES</t>
  </si>
  <si>
    <t>CONS.COPACABANA</t>
  </si>
  <si>
    <t>170026/000821/2021</t>
  </si>
  <si>
    <t>OSVALDO NETO / HIGOR MARTINS</t>
  </si>
  <si>
    <t>CARLETTI</t>
  </si>
  <si>
    <t>150001/012862/2022</t>
  </si>
  <si>
    <t>CONCREJATO</t>
  </si>
  <si>
    <t>460001/001918/2023</t>
  </si>
  <si>
    <t>HIGOR MARTINS / DANRLEI GOMES</t>
  </si>
  <si>
    <t>COPACABANA R2X/TANGRAM</t>
  </si>
  <si>
    <t>330001/000247/2025</t>
  </si>
  <si>
    <t>330001/000414/2024</t>
  </si>
  <si>
    <t>MPE</t>
  </si>
  <si>
    <t>170026/001228/2022</t>
  </si>
  <si>
    <t>460001/000251/2023</t>
  </si>
  <si>
    <t>DRV ENGENHARIA</t>
  </si>
  <si>
    <t>460001/000779/2023</t>
  </si>
  <si>
    <t>PETRÓPOLIS</t>
  </si>
  <si>
    <t>ENGEPRAT</t>
  </si>
  <si>
    <t>E-17/026/903/2019</t>
  </si>
  <si>
    <t>170026/000233/2022</t>
  </si>
  <si>
    <t>DANRLEI GOMES / IZADORA COE</t>
  </si>
  <si>
    <t xml:space="preserve">MPE </t>
  </si>
  <si>
    <t>170026/001756/2021</t>
  </si>
  <si>
    <t>170026/001757/2021</t>
  </si>
  <si>
    <t>170026/000277/2021</t>
  </si>
  <si>
    <t>HIGOR MARTINS / IZADORA COE</t>
  </si>
  <si>
    <t>180007/000770/2022</t>
  </si>
  <si>
    <t>CONSTRUPOWER</t>
  </si>
  <si>
    <t>330018/000566/2021</t>
  </si>
  <si>
    <t>460001/000416/2023</t>
  </si>
  <si>
    <t>330018/000981/2021</t>
  </si>
  <si>
    <t>170026/003470/2021</t>
  </si>
  <si>
    <t>E-17/026/1514/2019</t>
  </si>
  <si>
    <t>VCE</t>
  </si>
  <si>
    <t>170026/000214/2022</t>
  </si>
  <si>
    <t>POMA</t>
  </si>
  <si>
    <t>ESPECIAIS</t>
  </si>
  <si>
    <t>OBJETO</t>
  </si>
  <si>
    <t>-</t>
  </si>
  <si>
    <t>OBRAS DE CONTENÇÃO E DRENAGEM PARA ESTABILIZAÇÃO DE ENCOSTA, NO BAIRRO SÃO SEBASTIÃO</t>
  </si>
  <si>
    <t>PREPARAÇÃO</t>
  </si>
  <si>
    <t>330001/001547/2025</t>
  </si>
  <si>
    <t>CONSTRUTORA METROPOLITANA S A</t>
  </si>
  <si>
    <t>PAVIMENTAÇÃO, CALÇADAS E VIADUTO – DEMOB I – VOLTA REDONDA-RJ</t>
  </si>
  <si>
    <t>002/2022</t>
  </si>
  <si>
    <t>Não existe na tabela Contratadas</t>
  </si>
  <si>
    <t>RECUPERAÇÃO DE PAVIMENTAÇÃO – VOLTA REDONDA-RJ (LOTE 01)</t>
  </si>
  <si>
    <t>CONTRATAÇÃO (FASE INTERNA)</t>
  </si>
  <si>
    <t>330018/001378/2022</t>
  </si>
  <si>
    <t>DRENAGEM, IRRIGAÇÃO E SUBSTITUIÇÃO GRAMADO – VOLTA REDONDA/RJ</t>
  </si>
  <si>
    <t>170026/003168/2022</t>
  </si>
  <si>
    <t>SANTA LUZIA ENGENHARIA E CONSTRUCOES LTDA</t>
  </si>
  <si>
    <t>CONSTRUÇÃO DE PONTE – EIXO NORTE-SUL – DEMOB III – VOLTA REDONDA-RJ</t>
  </si>
  <si>
    <t>001/2022</t>
  </si>
  <si>
    <t>CONSTRUTORA AUGUSTO VELLOSO S.A.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</si>
  <si>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III (SUL E MÉDIO PARAÍBA)</t>
  </si>
  <si>
    <t>330001/001343/2025</t>
  </si>
  <si>
    <t>MELHORIA VIÁRIA – DEMOB II – VOLTA REDONDA-RJ</t>
  </si>
  <si>
    <t>005/2022</t>
  </si>
  <si>
    <t>SUBSTITUIÇÃO GRAMADO EM CAMPOS DE FUTEBOL – VOLTA REDONDA/RJ</t>
  </si>
  <si>
    <t>170026/003140/2021</t>
  </si>
  <si>
    <t>STATLED BRASIL CONSTRUTORA E PARTICIPACOES S.A.</t>
  </si>
  <si>
    <t>RECUPERAÇÃO DE PAVIMENTAÇÃO – VOLTA REDONDA-RJ (LOTE 02)</t>
  </si>
  <si>
    <t>CONCLUÍDA</t>
  </si>
  <si>
    <t>012/2023</t>
  </si>
  <si>
    <t>CONSTRUÇÃO DO EDIFÍCIO "RETIRO DOS ATLETAS", JARDIM PARAÍBA – VOLTA REDONDA/RJ</t>
  </si>
  <si>
    <t>460001/000656/2023</t>
  </si>
  <si>
    <t>OBRAS NO BAIRRO SÃO SEBASTIÃO – VOLTA REDONDA/RJ</t>
  </si>
  <si>
    <t>330001/001982/2024</t>
  </si>
  <si>
    <t>MIDAS ENGENHARIA LTDA</t>
  </si>
  <si>
    <t>PROJETO E OBRAS – MUSEU DA CIÊNCIA – VOLTA REDONDA-RJ</t>
  </si>
  <si>
    <t>035/2022</t>
  </si>
  <si>
    <t>DRENAGEM E ESGOTO - DISTRITO DE BARÃO DE VASSOURAS/RJ</t>
  </si>
  <si>
    <t>330018/001567/2022</t>
  </si>
  <si>
    <t>OBRAS DE CONTENÇÃO DE ENCOSTAS SITUADAS NA RUA CORONEL MANOEL BERNARDES (PEDREIRA), NO CENTRO DO MUNICÍPIO DE VASSOURAS/RJ</t>
  </si>
  <si>
    <t>CONTRATAÇÃO (FASE EXTERNA)</t>
  </si>
  <si>
    <t>330001/001537/2025</t>
  </si>
  <si>
    <t>CONSTRUÇÃO DO ESPAÇO GASTRONÔMICO "BOULEVARD" - VASSOURAS/RJ</t>
  </si>
  <si>
    <t>170026/002743/2021</t>
  </si>
  <si>
    <t>LUKE'S ENGENHERIA LTDA.</t>
  </si>
  <si>
    <t>RESTAURAÇÃO DA ANTIGA OFICINA - CENTRO, VASSOURAS/RJ</t>
  </si>
  <si>
    <t>001/2026</t>
  </si>
  <si>
    <t>PAVIMENTAÇÃO E CONTENÇÃO - ESTRADA DA GLÓRIA,VASSOURAS/RJ</t>
  </si>
  <si>
    <t>170026/001492/2022</t>
  </si>
  <si>
    <t>RESTAURAÇÃO DOS SETE CHAFARIZES – CENTRO HISTÓRICO DE VASSOURAS/RJ</t>
  </si>
  <si>
    <t>330018/000109/2022</t>
  </si>
  <si>
    <t>DEMOLIÇÃO DO IMÓVEL E CERCA SITUADOS NA FAIXA DE DOMÍNIO DA RODOVIA - BR-393, LADO SUL, KM 202,00, BAIRRO ANDRADE PINTO (ESCOLA ESTADUAL AUGUSTO VAZ), VASSOURAS-RJ</t>
  </si>
  <si>
    <t>330001/000672/2025</t>
  </si>
  <si>
    <t>OBRA COMPLEMENTAR DE CONTENÇÃO DE ENCOSTAS NA RUA MANOEL RODRIGUES DA SILVA E RUA CORONEL MANOEL BERNARDES, NO MUNICÍPIO DE VASSOURAS – RJ</t>
  </si>
  <si>
    <t>330001/001211/2025</t>
  </si>
  <si>
    <t>CONSTRUÇÃO DE GALPÃO PARA EVENTOS- VARRE-SAI</t>
  </si>
  <si>
    <t>VARRE-SAI</t>
  </si>
  <si>
    <t>330001/001421/2025</t>
  </si>
  <si>
    <t>PAVIMENTAÇÃO E SINALIZAÇÃO – PROJETO E EXECUÇÃO – VALENÇA-RJ (#FUNDO SOBERANO)</t>
  </si>
  <si>
    <t>014/2024</t>
  </si>
  <si>
    <t>H J RODRIGUES MELO LTDA</t>
  </si>
  <si>
    <t>RECUPERAÇÃO DE PAVIMENTAÇÃO E SINALIZAÇÃO - VALENÇA/RJ</t>
  </si>
  <si>
    <t>049/2022</t>
  </si>
  <si>
    <t>ELIMINAÇÃO DOS RISCOS DE ESCORREGAMENTO NA TRAV. TIRADENTES, SANTA ISABEL DO RIO PRETO, VALENÇA-RJ</t>
  </si>
  <si>
    <t>140010/001091/2023</t>
  </si>
  <si>
    <t>FARO CONSTRUÇÕES  LOCAÇÕES E CONSULTORIA LTDA</t>
  </si>
  <si>
    <t>PAVIMENTAÇÃO, DRENAGEM E PROJETO – JUPARANÃ, VALENÇA-RJ</t>
  </si>
  <si>
    <t>034/2022</t>
  </si>
  <si>
    <t>RECUPERAÇÃO DE PAVIMENTAÇÃO EM TRÊS RIOS/RJ</t>
  </si>
  <si>
    <t>TRANSFERIDA</t>
  </si>
  <si>
    <t>TRÊS RIOS</t>
  </si>
  <si>
    <t>330018/001473/2022</t>
  </si>
  <si>
    <t>CONTENÇÃO, DRENAGEM E PAVIMENTAÇÃO – TRÊS RIOS/RJ</t>
  </si>
  <si>
    <t>330018/000659/2022</t>
  </si>
  <si>
    <t>CONSÓRCIO TRÊS RIOS HR</t>
  </si>
  <si>
    <t>GALERIA DE DRENAGEM - TRÊS RIOS-RJ</t>
  </si>
  <si>
    <t>074/2022</t>
  </si>
  <si>
    <t>170026/001979/2021</t>
  </si>
  <si>
    <t>CONSORCIO REVITALIZA ZOELO</t>
  </si>
  <si>
    <t>REVITALIZAÇÃO - AVENIDA ZOELO SOLA, TRÊS RIOS-RJ</t>
  </si>
  <si>
    <t>061/2022</t>
  </si>
  <si>
    <t>330018/000012/2022</t>
  </si>
  <si>
    <t>REVITALIZAÇÃO DO CENTRO DE CONVENÇÕES – TRÊS RIOS/RJ</t>
  </si>
  <si>
    <t>170026/001974/2021</t>
  </si>
  <si>
    <t>INFRAESTRUTURA E URBANIZAÇÃO - BAIRRO VILA VERDE, TRÊS RIOS/RJ</t>
  </si>
  <si>
    <t>170026/000395/2021</t>
  </si>
  <si>
    <t>RECAPEAMENTO E SINALIZAÇÃO – TERESÓPOLIS</t>
  </si>
  <si>
    <t>TERESÓPOLIS</t>
  </si>
  <si>
    <t>460001/000259/2023</t>
  </si>
  <si>
    <t>CONSTRUTORA MEDEIROS CARVALHO DE ALMEIDA EIRELI</t>
  </si>
  <si>
    <t>CONTENÇÃO E DRENAGEM - JARDIM FÉO/ESPANHOL, TERESÓPOLIS-RJ</t>
  </si>
  <si>
    <t>013/2022</t>
  </si>
  <si>
    <t>e-17001/100576/2018</t>
  </si>
  <si>
    <t>SOLOTESTE ENGENHARIA LTDA</t>
  </si>
  <si>
    <t>CONTENÇÃO E DRENAGEM EM SALACO, TERESÓPOLIS/RJ</t>
  </si>
  <si>
    <t>003/2019</t>
  </si>
  <si>
    <t>E-17/001/218/2017</t>
  </si>
  <si>
    <t>CONSTRUTORA LYTORANEA S A</t>
  </si>
  <si>
    <t>USINAGEM E TRANSPORTE EM DIVERSOS LOGRADOUROS DE TERESÓPOLIS</t>
  </si>
  <si>
    <t>NÃO CONCLUÍDA</t>
  </si>
  <si>
    <t>015/2022</t>
  </si>
  <si>
    <t>330018/000221/2022</t>
  </si>
  <si>
    <t>JKN ASSESSORIA E SERVICOS LTDA</t>
  </si>
  <si>
    <t>TERMINAL RODOVIÁRIO – TERESÓPOLIS</t>
  </si>
  <si>
    <t>028/2022</t>
  </si>
  <si>
    <t>EXECUÇÃO DE OBRAS DE CONTENÇÃO DE ENCOSTAS EM ÁREAS DE ALTO RISCO GEOLÓGICO NO MUNICÍPIO DE TERESÓPOLIS-RJ</t>
  </si>
  <si>
    <t>330001/001272/2025</t>
  </si>
  <si>
    <t>REALOCAÇÃO E CONTENÇÃO – MORRO DO ROSÁRIO, TERESÓPOLIS</t>
  </si>
  <si>
    <t>330001/000773/2024</t>
  </si>
  <si>
    <t>CONSTRUÇÃO DO CINEMA MUNICIPAL – TANGUÁ/RJ</t>
  </si>
  <si>
    <t>TANGUÁ</t>
  </si>
  <si>
    <t>330018/000698/2022</t>
  </si>
  <si>
    <t>PAVIMENTAÇÃO E DRENAGEM – BAIRRO DUQUES – TANGUÁ/RJ</t>
  </si>
  <si>
    <t>CONTRATAÇÃO (ADJUDICADA)</t>
  </si>
  <si>
    <t>330018/000932/2022</t>
  </si>
  <si>
    <t>PAVIMENTAÇÃO E DRENAGEM EM ESTRADAS DE TANGUÁ/RJ</t>
  </si>
  <si>
    <t>170026/002681/2021</t>
  </si>
  <si>
    <t>INFRAESTRUTURA URBANA – BAIRROS CAMPO LINDO E FAZENDA CAXIAS – SEROPÉDICA/RJ</t>
  </si>
  <si>
    <t>SEROPÉDICA</t>
  </si>
  <si>
    <t>330018/001391/2022</t>
  </si>
  <si>
    <t>DRENAGEM E PAVIMENTAÇÃO – BAIRRO FAZENDA CAXIAS – SEROPÉDICA/RJ</t>
  </si>
  <si>
    <t>330018/001280/2022</t>
  </si>
  <si>
    <t>PAVIMENTAÇÃO E DRENAGEM – JARDIM MARACANÃ, SEROPÉDICA/RJ</t>
  </si>
  <si>
    <t>170026/001489/2022</t>
  </si>
  <si>
    <t>CONSTRUÇÃO DO CETAS – CENTRO DE TRIAGEM DE ANIMAIS, SEROPÉDICA/RJ</t>
  </si>
  <si>
    <t>170026/001352/2022</t>
  </si>
  <si>
    <t>CONCLUSÃO DO COLÉGIO MARIA L. SALOMÃO – SAPUCAIA/RJ</t>
  </si>
  <si>
    <t>SAPUCAIA</t>
  </si>
  <si>
    <t>170026/002057/2021</t>
  </si>
  <si>
    <t>PAVIMENTAÇÃO - CINCO DISTRITOS, SAPUCAIA-RJ</t>
  </si>
  <si>
    <t>170026/000523/2022</t>
  </si>
  <si>
    <t>REVITALIZAÇÃO DA ESTAÇÃO FERROVIÁRIA, SAPUCAIA-RJ</t>
  </si>
  <si>
    <t>050003/000309/2022</t>
  </si>
  <si>
    <t>REVITALIZAÇÃO DE CALÇADAS E PRAÇA – IPITUNA, SÃO SEBASTIÃO DO ALTO/RJ</t>
  </si>
  <si>
    <t>330018/001233/2022</t>
  </si>
  <si>
    <t>CONPLAN EMPREENDIMENTOS E SERVICOS LTDA</t>
  </si>
  <si>
    <t>REVITALIZAÇÃO URBANA – BAIRRO VALÃO DO BARRO, SÃO SEBASTIÃO DO ALTO/RJ</t>
  </si>
  <si>
    <t>017/2023</t>
  </si>
  <si>
    <t>PAVIMENTAÇÃO, CALÇAMENTO E DRENAGEM EM PRAIA LINDA, SÃO PEDRO DA ALDEIA/RJ</t>
  </si>
  <si>
    <t>SÃO PEDRO DA ALDEIA</t>
  </si>
  <si>
    <t>330018/001666/2022</t>
  </si>
  <si>
    <t>PAVIMENTAÇÃO, DRENAGEM E ILUMINAÇÃO EM SÃO PEDRO DA ALDEIA/RJ</t>
  </si>
  <si>
    <t>034/2023</t>
  </si>
  <si>
    <t>460001/000884/2023</t>
  </si>
  <si>
    <t>PAVIMENTAÇÃO E DRENAGEM EM PARQUE ESTORIL, SÃO PEDRO DA ALDEIA/RJ</t>
  </si>
  <si>
    <t>170026/003307/2021</t>
  </si>
  <si>
    <t>PAVIMENTAÇÃO, DRENAGEM E ILUMINAÇÃO PARA A ESTRADA DA BOA VISTA EM SÃO PEDRO DA ALDEIA</t>
  </si>
  <si>
    <t>045/2022</t>
  </si>
  <si>
    <t>330018/000559/2022</t>
  </si>
  <si>
    <t>MEGA ENGENHARIA LTDA</t>
  </si>
  <si>
    <t>PAVIMENTAÇÃO E DRENAGEM - BAIRRO COLINAS, SÃO PEDRO DA ALDEIA-RJ</t>
  </si>
  <si>
    <t>046/2022</t>
  </si>
  <si>
    <t>330018/000560/2022</t>
  </si>
  <si>
    <t>CONSTRUÇÃO DA CLÍNICA ESCOLA DO AUTISTA, SÃO PEDRO DA ALDEIA-RJ</t>
  </si>
  <si>
    <t>330001/000013/2026</t>
  </si>
  <si>
    <t>INTERVENÇÕES NO LOTEAMENTO RECANTO DE OLGA DIUANA ZACARIAS, SITUADO À RODOVIA RJ-140, PRÓXIMO AO QUILÔMETRO 5, CAMPO REDONDO</t>
  </si>
  <si>
    <t>330001/000410/2025</t>
  </si>
  <si>
    <t>REPARO DE PONTE - BAIRRO PINHEIROS, SÃO JOSÉ DO VALE DO RIO PRETO-RJ</t>
  </si>
  <si>
    <t>SÃO JOSÉ DO VALE DO RIO PRETO</t>
  </si>
  <si>
    <t>330001/000213/2025</t>
  </si>
  <si>
    <t>REFORMA DO CENTRO DE FISIOTERAPIA - SÃO JOSÉ DE UBÁ-RJ</t>
  </si>
  <si>
    <t>170026/002649/2021</t>
  </si>
  <si>
    <t>CONSTRUÇÃO QUADRA POLIESPORTIVA VILA CAPELINHA – SÃO JOSÉ DE UBÁ/RJ</t>
  </si>
  <si>
    <t>170026/003185/2022</t>
  </si>
  <si>
    <t>REFORMA CAMPO FUTEBOL GRÊMIO UBAENSE – SÃO JOSÉ DE UBÁ/RJ</t>
  </si>
  <si>
    <t>170026/002654/2021</t>
  </si>
  <si>
    <t>REVITALIZAÇÃO CAMPO SOCIETY – SÃO JOSÉ DE UBÁ/RJ</t>
  </si>
  <si>
    <t>170026/002648/2021</t>
  </si>
  <si>
    <t>CTESA CONSTRUCOES LTDA</t>
  </si>
  <si>
    <t>CONTENÇÃO, DRENAGEM E ESTABILIZAÇÃO – SÃO JOSÉ DE UBÁ/RJ</t>
  </si>
  <si>
    <t>027/2023</t>
  </si>
  <si>
    <t>CONSORCIO SÃO JOÃO</t>
  </si>
  <si>
    <t>CONSTRUÇÃO DE VIADUTO NO KM168 - SÃO JOÃO DE MERITI/RJ</t>
  </si>
  <si>
    <t>001/2024</t>
  </si>
  <si>
    <t>CONTENÇÃO DE ENCOSTA NA TRAVESSA CRISTINA CESAR - SÃO JOÃO DE MERITI/RJ</t>
  </si>
  <si>
    <t>330001/001473/2024</t>
  </si>
  <si>
    <t>CONSTRUÇÃO DE CONTENÇÃO EM CORTINA ATIRANTADA - RUA ANTONIO TRAVESSA - SÃO JOÃO DE MERITI - RJ</t>
  </si>
  <si>
    <t>330001/001469/2024</t>
  </si>
  <si>
    <t>DRENAGEM E PAVIMENTAÇÃO - ENGENHEIRO BELFORD, SÃO JOÃO DE MERITI-RJ</t>
  </si>
  <si>
    <t>460001/001803/2023</t>
  </si>
  <si>
    <t>CONTENÇÃO DE ENCOSTA NAS RUAS MARIA JOSÉ E EUNICE MAGALHÃES - SÃO JOÃO DE MERITI/RJ</t>
  </si>
  <si>
    <t>330001/001484/2024</t>
  </si>
  <si>
    <t>CONSTRUÇÃO DE CONTENÇÃO EM CORTINA ATIRANTADA E CONCRETO PROJETADO - RUA JESUINO DE ANDRADE - SÃO MATEUS - SÃO JOÃO DE MERITI - RJ</t>
  </si>
  <si>
    <t>330001/001471/2024</t>
  </si>
  <si>
    <t>CONTENÇÃO DE ENCOSTA NA TRAVESSA NOGUEIRA - SÃO JOÃO DE MERITI/RJ</t>
  </si>
  <si>
    <t>330001/001475/2024</t>
  </si>
  <si>
    <t>CONTENÇÃO DE ENCOSTA NA RUA ANA MARIA DE QUEIROZ MATOSO - SÃO JOÃO DE MERITI/RJ</t>
  </si>
  <si>
    <t>330001/001476/2024</t>
  </si>
  <si>
    <t>CONTENÇÃO DE ENCOSTA NA RUA DOMICILIAR CÉSAR - SÃO JOÃO DE MERITI/RJ</t>
  </si>
  <si>
    <t>330001/001474/2024</t>
  </si>
  <si>
    <t>CONSTRUÇÃO DE CONTENÇÃO EM CORTINA ATIRANTADA - RUA FRANCISCO TORQUILHO - SÃO MATEUS - SÃO JOÃO DE MERITI - RJ</t>
  </si>
  <si>
    <t>330001/001470/2024</t>
  </si>
  <si>
    <t>CONTENÇÃO DE ENCOSTA NA AVENIDA JOÃO VENÂNCIO ROSA - SÃO JOÃO DE MERITI/RJ</t>
  </si>
  <si>
    <t>330001/001478/2024</t>
  </si>
  <si>
    <t>PRAÇA PARQUE ÉDEN - SÃO JOÃO DE MERITI-RJ</t>
  </si>
  <si>
    <t>460001/000911/2023</t>
  </si>
  <si>
    <t>CONTENÇÃO DE ENCOSTA NA RUA ANA BRITO - SÃO JOÃO DE MERITI/RJ</t>
  </si>
  <si>
    <t>330001/001472/2024</t>
  </si>
  <si>
    <t>CONTENÇÃO DE ENCOSTA NA RUA FEIRA DE SANTANA - SÃO JOÃO DE MERITI/RJ</t>
  </si>
  <si>
    <t>330001/001479/2024</t>
  </si>
  <si>
    <t>CONSTRUÇÃO DE CONTENÇÃO COM SOLO GRAMPEADO - RUA TÂNDALO – SÃO JOÃO DE MERITI - RJ</t>
  </si>
  <si>
    <t>330001/001468/2024</t>
  </si>
  <si>
    <t>CONTENÇÃO DE ENCOSTA NA RUA CINTRA - SÃO JOÃO DE MERITI/RJ</t>
  </si>
  <si>
    <t>330001/001477/2024</t>
  </si>
  <si>
    <t>CONTENÇÃO DE ENCOSTA NA RUA ANTÔNIO GARCIA - SÃO JOÃO DE MERITI/RJ</t>
  </si>
  <si>
    <t>330001/001413/2024</t>
  </si>
  <si>
    <t>CONTENÇÃO DE ENCOSTA NA RUA CHUMBO – COELHO DA ROCHA - SÃO JOÃO DE MERITI/RJ</t>
  </si>
  <si>
    <t>330001/000129/2024</t>
  </si>
  <si>
    <t>CONTENÇÃO DE ENCOSTA NA RUA SETE DE SETEMBRO – VENDA VELHA - SÃO JOÃO DE MERITI/RJ</t>
  </si>
  <si>
    <t>330001/000133/2024</t>
  </si>
  <si>
    <t>EXECUÇÃO DE PROJETO EXECUTIVO DE CONTENÇÃO DE ENCOSTA E PROJETO SOCIAL RUA MARIA JOSÉ E RUA EUNICE MAGALHÃES, JARDIM IRIS.</t>
  </si>
  <si>
    <t>330001/001849/2025</t>
  </si>
  <si>
    <t>PROJETO EXECUTIVO DE CONTENÇÃO DE ENCOSTA E TRABALHO SOCIAL NA RUA ITACARÉ</t>
  </si>
  <si>
    <t>330001/000193/2026</t>
  </si>
  <si>
    <t>INFRAESTRUTURA E URBANIZAÇÃO NO SÃO JOÃO DE MERITI – RJ</t>
  </si>
  <si>
    <t>041/2022</t>
  </si>
  <si>
    <t>OBRA DE ESTABILIZAÇÃO NA RUA TRAVESSA ERNESTO MELO – SÃO JOÃO -  MERITI/RJ</t>
  </si>
  <si>
    <t>330001/000893/2024</t>
  </si>
  <si>
    <t>OBRA DE ESTABILIZAÇÃO NA RUA ITACARÉ – VILAR DOS TELES - SÃO JOÃO DE MERITI/RJ</t>
  </si>
  <si>
    <t>330001/000892/2024</t>
  </si>
  <si>
    <t>OBRA DE ESTABILIZAÇÃO NA RUA JOAQUIM COELHO ÁLAMO – VILA TIRADENTES - SÃO JOÃO DE MERITI/RJ</t>
  </si>
  <si>
    <t>330001/000891/2024</t>
  </si>
  <si>
    <t>OBRA DE ESTABILIZAÇÃO NA RUA MONTEVIDÉU – VILA SÃO JOÃO - SÃO JOÃO DE MERITI/RJ</t>
  </si>
  <si>
    <t>330001/000890/2024</t>
  </si>
  <si>
    <t>OBRA DE ESTABILIZAÇÃO NA RUA ADELINO GONÇALVES – COELHO DA ROCHA - SÃO JOÃO DE MERITI/RJ</t>
  </si>
  <si>
    <t>330001/000888/2024</t>
  </si>
  <si>
    <t>CONTENÇÃO DE ENCOSTA NA RUA DR. LUÍS SOBRAL – TOMAZINHO - SÃO JOÃO DE MERITI/RJ</t>
  </si>
  <si>
    <t>330001/000134/2024</t>
  </si>
  <si>
    <t>OBRA DE ESTABILIZAÇÃO NA RUA JOSÉ DE SOUZA SAMPAIO - SÃO JOÃO DE MERITI/RJ</t>
  </si>
  <si>
    <t>330001/000131/2024</t>
  </si>
  <si>
    <t>OBRA DE ESTABILIZAÇÃO NA RUA TRAVESSA VIEIRA ANDRADE – ÉDEN - SÃO JOÃO DE MERITI/RJ</t>
  </si>
  <si>
    <t>330001/000114/2024</t>
  </si>
  <si>
    <t>OBRA DE ESTABILIZAÇÃO NA RUA IAUCA – VILA ROSALI - SÃO JOÃO DE MERITI/RJ</t>
  </si>
  <si>
    <t>330001/000112/2024</t>
  </si>
  <si>
    <t>CONSÓRCIO MUV SÃO GONÇALO</t>
  </si>
  <si>
    <t>CORREDOR SELETIVO - NEVES/GEBARA, SÃO GONÇALO-RJ</t>
  </si>
  <si>
    <t>001/2023</t>
  </si>
  <si>
    <t>SÃO GONÇALO</t>
  </si>
  <si>
    <t>330018/000655/2021</t>
  </si>
  <si>
    <t>CONSÓRCIO VIEIRA BOM RETIRO</t>
  </si>
  <si>
    <t>PROJETO EXECUTIVO E PAVIMENTAÇÃO ASFÁLTICA EM SÃO GONÇALO/RJ</t>
  </si>
  <si>
    <t>016/2023</t>
  </si>
  <si>
    <t>330018/000421/2022</t>
  </si>
  <si>
    <t>PAVIMENTAÇÃO E DRENAGEM EM SÃO GONÇALO/RJ (Rua Gen. Daltro Filho)</t>
  </si>
  <si>
    <t>330018/001640/2022</t>
  </si>
  <si>
    <t>RECUPERAÇÃO DE PAVIMENTAÇÃO E SINALIZAÇÃO – SÃO GONÇALO/RJ</t>
  </si>
  <si>
    <t>330018/001348/2022</t>
  </si>
  <si>
    <t>PAVIMENTAÇÃO E DRENAGEM - RUA ITAGUAÍ, VISTA ALEGRE, SÃO GONÇALO-RJ</t>
  </si>
  <si>
    <t>058/2022</t>
  </si>
  <si>
    <t>330018/000422/2022</t>
  </si>
  <si>
    <t>PAVIMENTAÇÃO, DRENAGEM E URBANIZAÇÃO EM SANTA IZABEL, SÃO GONÇALO/RJ</t>
  </si>
  <si>
    <t>330018/000547/2022</t>
  </si>
  <si>
    <t>CICLORROTA E REORDENAMENTO VIÁRIO - SÃO GONÇALO-RJ</t>
  </si>
  <si>
    <t>043/2022</t>
  </si>
  <si>
    <t>330018/000512/2022</t>
  </si>
  <si>
    <t>CONSÓRCIO VIEIRA II MARAMBAIA</t>
  </si>
  <si>
    <t>INFRAESTRUTURA - BAIRRO MARAMBAIA, SÃO GONÇALO-RJ</t>
  </si>
  <si>
    <t>048/2022</t>
  </si>
  <si>
    <t>330018/000619/2022</t>
  </si>
  <si>
    <t>DESOBSTACULIZAÇÃO DE ACESSO EM VISTA ALEGRE - SÃO GONÇALO/RJ</t>
  </si>
  <si>
    <t>460001/001463/2023</t>
  </si>
  <si>
    <t>PAVIMENTAÇÃO - PRAÇA JOÃO PESSOA, SÃO FRANCISCO DE ITABAPOANA-RJ</t>
  </si>
  <si>
    <t>SÃO FRANCISCO DE ITABAPOANA</t>
  </si>
  <si>
    <t>170026/002097/2022</t>
  </si>
  <si>
    <t>PAVIMENTAÇÃO ASFÁLTICA - ALEGRIA DOS ANJOS, SÃO FRANCISCO DE ITABAPOANA-RJ</t>
  </si>
  <si>
    <t>170026/002099/2022</t>
  </si>
  <si>
    <t>PAVIMENTAÇÃO, MICRODRENAGEM E ÁGUA/ESGOTO EM SANTA CLARA – SÃO FRANCISCO DE ITABAPOANA/RJ</t>
  </si>
  <si>
    <t>021/2023</t>
  </si>
  <si>
    <t>PAVIMENTAÇÃO E RECAPEAMENTO RUAS E BAIRROS – SANTO ANTÔNIO DE PÁDUA/RJ</t>
  </si>
  <si>
    <t>SANTO ANTÔNIO DE PÁDUA</t>
  </si>
  <si>
    <t>170026/003272/2021</t>
  </si>
  <si>
    <t>IMPLANTAÇÃO QUIOSQUES E BANHEIROS PRAÇA CAMPO ALEGRE – SANTO ANTÔNIO DE PÁDUA/RJ</t>
  </si>
  <si>
    <t>170026/002024/2021</t>
  </si>
  <si>
    <t>CONSTRUÇÃO PRAÇA AV. JOÃO JAZBIK – SANTO ANTÔNIO DE PÁDUA/RJ</t>
  </si>
  <si>
    <t>170026/004030/2021</t>
  </si>
  <si>
    <t>REFORMA PRAÇA CARIBÉ DA ROCHA – SANTO ANTÔNIO DE PÁDUA/RJ</t>
  </si>
  <si>
    <t>170026/004029/2021</t>
  </si>
  <si>
    <t>REFORMA DO PARQUE DE EXPOSIÇÃO - Santa Maria Madalena/RJ</t>
  </si>
  <si>
    <t>SANTA MARIA MADALENA</t>
  </si>
  <si>
    <t>050003/000264/2022</t>
  </si>
  <si>
    <t>REGISTRO DE PREÇOS PARA SERVIÇOS COMUM DE ENGENHARIA</t>
  </si>
  <si>
    <t>330001/000218/2025</t>
  </si>
  <si>
    <t>CONTRATAÇÃO DE UMA EMPRESA ESPECIALIZADA NA EXECUÇÃO DE SERVIÇOS DE ESTABILIZAÇÃO DE SOLOS COM ESTABILIZADOR IÔNICO LÍQUIDO, COM PROPRIEDADES DE AUMENTO DA RESISTÊNCIA DO SOLO E RESISTÊNCIA À ÁGUA, 100% AMBIENTALMENTE SUSTENTÁVEL, MONOCOMPONENTE, APLICADO IN SITU, COM O FORNECIMENTO DE TODOS OS EQUIPAMENTOS, MAQUINÁRIO, MÃO DE OBRA E TODOS OS MATERIAIS NECESSÁRIOS PARA CADA TIPO DE SERVIÇO, CONFORME AS CONDIÇÕES E EXIGÊNCIAS ESTABELECIDAS.</t>
  </si>
  <si>
    <t>330001/001152/2025</t>
  </si>
  <si>
    <t>MPE ENGENHARIA E SERVICOS S/A</t>
  </si>
  <si>
    <t>RECUPERAÇÃO DE EQUIPAMENTOS DO TELEFÉRICO DO ALEMÃO - RJ</t>
  </si>
  <si>
    <t>016/2025</t>
  </si>
  <si>
    <t>REGISTRO DE PREÇOS DE MANUTENÇÃO DAS VIAS DE ACESSO EM SOLO NATURAL, PARA ESTABILIZAÇÃO E RESISTÊNCIA ÀS INTEMPÉRIES CLIMÁTICAS</t>
  </si>
  <si>
    <t>330001/000221/2025</t>
  </si>
  <si>
    <t>PAVIMENTAÇÃO COM ASFALTO ECOLÓGICO EM REGIÕES DO ESTADO DO RIO DE JANEIRO – RJ.</t>
  </si>
  <si>
    <t>330001/000013/2025</t>
  </si>
  <si>
    <t>REGISTRO DE PREÇOS PARA AQUISIÇÃO DE CIMENTO ASFÁLTICO DE PETRÓLEO E AGREGADOS</t>
  </si>
  <si>
    <t>330001/000373/2025</t>
  </si>
  <si>
    <t>REGISTRO DE PREÇOS AQUISIÇÃO DE INSUMOS ASFÁLTICOS DE PETRÓLEO E AGREGADOS</t>
  </si>
  <si>
    <t>330001/000220/2025</t>
  </si>
  <si>
    <t>ATA DE REGISTRO DE PREÇO PARA SERVIÇO DE PAVIMENTAÇÃO COM ASTALTO CBUQ- DIVERSOS MUNICIPÍOS</t>
  </si>
  <si>
    <t>330001/001650/2025</t>
  </si>
  <si>
    <t>CONSTRUÇÃO DE ESTABELECIMENTO PENAL – INSTITUTO VICENTE PIRAGIBE</t>
  </si>
  <si>
    <t>210001/004226/2021</t>
  </si>
  <si>
    <t>POMA S.A.S.</t>
  </si>
  <si>
    <t>AQUISIÇÃO DE EQUIPAMENTOS PARA TELEFÉRICO DO ALEMÃO – RJ</t>
  </si>
  <si>
    <t>018/2024</t>
  </si>
  <si>
    <t>NOVA SEDE DO GRUPAMENTO AEROMÓVEL – COE</t>
  </si>
  <si>
    <t>170026/000647/2021</t>
  </si>
  <si>
    <t>ATA DE REGISTRO DE PREÇO PARA SERVIÇO DE ILUMINAÇÃO- DIVERSOS MUNICIPÍOS</t>
  </si>
  <si>
    <t>330001/001660/2025</t>
  </si>
  <si>
    <t>ATA DE REGISTRO DE PREÇO PARA SERVIÇO DE SINALIZAÇÃO- DIVERSOS MUNICIPÍOS</t>
  </si>
  <si>
    <t>330001/001661/2025</t>
  </si>
  <si>
    <t>SERVIÇO DE LOCAÇÃO DE MÁQUINAS
PESADAS E EQUIPAMENTOS</t>
  </si>
  <si>
    <t>330001/002321/2024</t>
  </si>
  <si>
    <t>EXECUÇÃO DE CONSTRUÇÃO/RECUPERAÇÃO DE CALÇADAS, CICLOVIAS E PAVIMENTOS DE DIVERSOS TRECHOS EM LOUGRADOUROS PÚBLICOS)</t>
  </si>
  <si>
    <t>330001/001206/2025</t>
  </si>
  <si>
    <t>PROJETO EXECUTIVO E OBRAS DO COLÉGIO ZILDA ARNS – GUARATIBA</t>
  </si>
  <si>
    <t>330001/001216/2024</t>
  </si>
  <si>
    <t>NOVA SEDE DO BATALHÃO DE AÇÃO COM CÃES – COE</t>
  </si>
  <si>
    <t>170026/000573/2021</t>
  </si>
  <si>
    <t>CONTRATAÇÃO DE CONCRETO USINADO ATRAVÉS DE ATA DE REGISTRO DE PREÇO</t>
  </si>
  <si>
    <t>330001/000080/2025</t>
  </si>
  <si>
    <t>CONSTRUÇÃO DE EQUIPAMENTO MODULAR – COLÉGIO STELLA MATUTINA</t>
  </si>
  <si>
    <t>170026/000276/2021</t>
  </si>
  <si>
    <t>CONSTRUÇÃO DE COZINHA INDUSTRIAL E SEDE DA 1ª COMPANHIA DO CFAP - RIO DE JANEIRO</t>
  </si>
  <si>
    <t>330001/000185/2025</t>
  </si>
  <si>
    <t>CONCLUSÃO DAS OBRAS DO MUSEU DA IMAGEM E DO SOM - COPACABANA - RJ</t>
  </si>
  <si>
    <t>031/2021</t>
  </si>
  <si>
    <t>SEVEME INDUSTRIAS METALURGICAS S.A.</t>
  </si>
  <si>
    <t>REFAZIMENTO DAS FACHADAS DO MIS - NOVA SEDE - 2013</t>
  </si>
  <si>
    <t>038/2013</t>
  </si>
  <si>
    <t>E-17/001/81/2013</t>
  </si>
  <si>
    <t>CARLETTI CONSTRUCOES E SERVICOS LTDA</t>
  </si>
  <si>
    <t>CONSTRUÇÃO DE EQUIPAMENTO MODULAR PARA O COLÉGIO ZILDA ARNS - GUARATIBA - RJ</t>
  </si>
  <si>
    <t>008/2022</t>
  </si>
  <si>
    <t>CONSTRUÇÃO DO COLÉGIO ESTADUAL LUIZ MELODIA – RIO DE JANEIRO</t>
  </si>
  <si>
    <t>042/2022</t>
  </si>
  <si>
    <t>PROJETO EXECUTIVO E OBRAS DO COLÉGIO SULACAP</t>
  </si>
  <si>
    <t>E-17/026/915/2019</t>
  </si>
  <si>
    <t>CONSTRUÇÃO DO COLÉGIO ÂNGELA MARIA – MARECHAL HERMES</t>
  </si>
  <si>
    <t>030029/008643/2021</t>
  </si>
  <si>
    <t>CONSÓRCIO COPACABANA R2X/TANGRAN  (CONSTRUTORA R2X E TANGRAN ENGENHARIA)</t>
  </si>
  <si>
    <t>CONCLUSÃO DAS OBRAS DA NOVA SEDE DO MIS – RIO DE JANEIRO</t>
  </si>
  <si>
    <t>012/2024</t>
  </si>
  <si>
    <t>SERVIÇOS DE SONDAGEM E TOPOGRAFIA</t>
  </si>
  <si>
    <t>330001/000195/2025</t>
  </si>
  <si>
    <t>CONSTRUPOWER ENGENHARIA LTDA</t>
  </si>
  <si>
    <t>OBRAS DE RESTAURAÇÃO NO PALACETE DO PARQUE LAGE – RJ</t>
  </si>
  <si>
    <t>017/2024</t>
  </si>
  <si>
    <t>VCE PROJETOS, CONSTRUCOES E SERVICOS LTDA</t>
  </si>
  <si>
    <t>PROJETO EXECUTIVO E OBRA DE COZINHA INDUSTRIAL E SEDE DA 1ª COMPANHIA DO CFAP – RIO DE JANEIRO</t>
  </si>
  <si>
    <t>059/2022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</si>
  <si>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t>
  </si>
  <si>
    <t>024/2025</t>
  </si>
  <si>
    <t>NAVEBRAS SERVIÇOS E MANUTENÇÃO LTDA</t>
  </si>
  <si>
    <t>REQUALIFICAÇÃO DO CONJUNTO HABITACIONAL OSWALDO CRUZ, RIO DE JANEIRO/RJ</t>
  </si>
  <si>
    <t>018/2022</t>
  </si>
  <si>
    <t>170026/002060/2021</t>
  </si>
  <si>
    <t>ADESÃO DE REGISTRO DE PREÇO DA MARINHA DO BRASIL</t>
  </si>
  <si>
    <t>330001/001671/2025</t>
  </si>
  <si>
    <t>HYDRA ENGENHARIA E SANEAMENTO LTDA</t>
  </si>
  <si>
    <t>REQUALIFICAÇÃO DO CONJUNTO HABITACIONAL CRATO, RIO DE JANEIRO/RJ</t>
  </si>
  <si>
    <t>170026/003399/2021</t>
  </si>
  <si>
    <t>CENTRO ESPORTIVO DA 3ª IDADE - TIJUCA-RJ</t>
  </si>
  <si>
    <t>170026/003955/2021</t>
  </si>
  <si>
    <t>PROJETOS DE CONTENÇÃO DE ENCOSTAS</t>
  </si>
  <si>
    <t>170026/002546/2021</t>
  </si>
  <si>
    <t>OBRAS DE ILUMINAÇÃO E ACABAMENTOS - MUSEU DA IMAGEM E DO SOM - COPACABANA - RJ</t>
  </si>
  <si>
    <t>057/2022</t>
  </si>
  <si>
    <t>CONSTRUÇÃO DE SALAS DE AULA E TORRE DE TREINAMENTO – COE</t>
  </si>
  <si>
    <t>350060/001040/2020</t>
  </si>
  <si>
    <t>REFORMA QUADRA E PRAÇA ARENA CASINHAS – MAGALHÃES BASTOS/RJ</t>
  </si>
  <si>
    <t>170026/003229/2021</t>
  </si>
  <si>
    <t>PETROPUMP SERVICOS LTDA</t>
  </si>
  <si>
    <t>RECUPERAÇÃO DAS ESTAÇÕES DO TELEFÉRICO DO ALEMÃO – RJ</t>
  </si>
  <si>
    <t>021/2022</t>
  </si>
  <si>
    <t>CABB ENGENHARIA LTDA</t>
  </si>
  <si>
    <t>REQUALIFICAÇÃO DO CONJUNTO HABITACIONAL VARESE, RIO DE JANEIRO/RJ</t>
  </si>
  <si>
    <t>065/2022</t>
  </si>
  <si>
    <t>170026/000161/2022</t>
  </si>
  <si>
    <t>REFORMA PARA ACESSIBILIDADE PRAÇA BARRA BONITA – RECREIO/RJ</t>
  </si>
  <si>
    <t>170026/002972/2021</t>
  </si>
  <si>
    <t>PAINÉIS DE MARCENARIA DO MIS</t>
  </si>
  <si>
    <t>015/2025</t>
  </si>
  <si>
    <t>REFORMA CAMPO E QUADRA PRAÇA FEDERICO FELLINI – BANGU/RJ</t>
  </si>
  <si>
    <t>170026/003233/2021</t>
  </si>
  <si>
    <t>REFORMA QUADRA E PRAÇA CAIXA D’ÁGUA – PADRE MIGUEL/RJ</t>
  </si>
  <si>
    <t>170026/003232/2021</t>
  </si>
  <si>
    <t>CONSORCIO FACHADA MIS R2X/TANGRAN (CONSTRUTORA R2X E TANGRAN ENGENHARIA)</t>
  </si>
  <si>
    <t>REFAZIMENTO DAS FACHADAS DO MIS - NOVA SEDE - 2023</t>
  </si>
  <si>
    <t>007/2025</t>
  </si>
  <si>
    <t>INFRAESTRUTURA E URBANIZAÇÃO DO COMPLEXO DO COE</t>
  </si>
  <si>
    <t>350060/000957/2021</t>
  </si>
  <si>
    <t>DE SÁ CONSTRUÇÕES E SERVIÇOS LTDA</t>
  </si>
  <si>
    <t>REQUALIFICAÇÃO DO CONJUNTO HABITACIONAL DIVINO MESTRE, RIO DE JANEIRO/RJ</t>
  </si>
  <si>
    <t>026/2022</t>
  </si>
  <si>
    <t>170026/002113/2021</t>
  </si>
  <si>
    <t>REFORMA QUADRA E PRAÇA SARACURA – PADRE MIGUEL/RJ</t>
  </si>
  <si>
    <t>170026/003231/2021</t>
  </si>
  <si>
    <t>CONCREJATO SERVICOS TECNICOS DE ENGENHARIA S/A</t>
  </si>
  <si>
    <t>PROJETOS E OBRAS PARA REFORMA DA SEDE DO TRE-RJ</t>
  </si>
  <si>
    <t>076/2022</t>
  </si>
  <si>
    <t>COMPASS - BUILD CONTROL LTDA</t>
  </si>
  <si>
    <t>APOIO TÉCNICO À FISCALIZAÇÃO DAS OBRAS DO MIS - COPACABANA - RJ</t>
  </si>
  <si>
    <t>012/2022</t>
  </si>
  <si>
    <t>170026/001763/2021</t>
  </si>
  <si>
    <t>REFORMA CAMPO E PRAÇA ESPORTIVA PALMEIRINHA – RIO DE JANEIRO/RJ</t>
  </si>
  <si>
    <t>170026/002159/2022</t>
  </si>
  <si>
    <t>REFORMA QUADRA E PRAÇA NOVA JERSEY (ROSEIRA) – PADRE MIGUEL/RJ</t>
  </si>
  <si>
    <t>170026/003230/2021</t>
  </si>
  <si>
    <t>OBRAS DE ACESSIBILIDADE - PRAÇA DO BARRO VERMELHO, PECHINCHA-RJ</t>
  </si>
  <si>
    <t>170026/002973/2021</t>
  </si>
  <si>
    <t>READEQUAÇÃO CAMPO FUTEBOL PRAÇA AUREO DE OLIVEIRA – ANCHIETA/RJ</t>
  </si>
  <si>
    <t>170026/003275/2021</t>
  </si>
  <si>
    <t>LEVANTAMENTO TOPOGRÁFICO E SONDAGENS – NOVA MARACÁ - TOMÁS COELHO</t>
  </si>
  <si>
    <t>460001/001898/2023</t>
  </si>
  <si>
    <t>CONSTRUÇÃO DO COE E DE EQUIPAMENTO MODULAR – RIO DE JANEIRO</t>
  </si>
  <si>
    <t>029/2021</t>
  </si>
  <si>
    <t>REFORMA PRAÇA E CAMPO CONJUNTO HABITACIONAL GOUVEIA – PACIÊNCIA/RJ</t>
  </si>
  <si>
    <t>170026/001624/2020</t>
  </si>
  <si>
    <t>REVITALIZAÇÃO PRAÇA JÚLIO SIMÕES – SANTA CRUZ/RJ</t>
  </si>
  <si>
    <t>170026/001792/2020</t>
  </si>
  <si>
    <t>REFORMA PRAÇA AVAÍ – CACHAMBI/RJ</t>
  </si>
  <si>
    <t>170026/001623/2020</t>
  </si>
  <si>
    <t>REFORMA PRAÇA VILA CRUZADO – ROCINHA/RJ</t>
  </si>
  <si>
    <t>170026/002113/2020</t>
  </si>
  <si>
    <t>MANUTENÇÃO DE ELEVADOR - MUSEU DA IMAGEM E DO SOM, COPACABANA-RJ</t>
  </si>
  <si>
    <t>170026/001283/2022</t>
  </si>
  <si>
    <t>REFORMA PRAÇA RUA VISCONDE SANTA CRUZ – ENGENHO NOVO/RJ</t>
  </si>
  <si>
    <t>170026/001790/2020</t>
  </si>
  <si>
    <t>SOLVE CONSULTORIA E PROJETOS LTDA</t>
  </si>
  <si>
    <t>OBRA EMERGENCIAL DE DEMOLIÇÃO EM ESTRUTURA ELEVADA NO CENTRO SOCIAL MIGUEL GUSTAVO, SENADOR CAMARÁ- RJ</t>
  </si>
  <si>
    <t>020/2025</t>
  </si>
  <si>
    <t>REFORMA PRAÇA VALDEMAR TEIXEIRA – PEDRA DE GUARATIBA/RJ</t>
  </si>
  <si>
    <t>170026/001791/2020</t>
  </si>
  <si>
    <t>REFORMA PRAÇA DOS PESCADORES – RJ</t>
  </si>
  <si>
    <t>170026/001621/2020</t>
  </si>
  <si>
    <t>ABBM BRAGA E SERVIÇOS LTDA  ME</t>
  </si>
  <si>
    <t>CONSTRUÇÃO DE GALPÃO E READEQUAÇÃO DO HELIPONTO  COMANDANTE ANDRÉ TAVARES DE CAMPOS</t>
  </si>
  <si>
    <t>009/2022</t>
  </si>
  <si>
    <t>METALURGICA BIG FARM LTDA</t>
  </si>
  <si>
    <t>PROJETO E OBRAS DE RESTAURANTE DO POVO, RIO DE JANEIRO/RJ (LOTE 01)</t>
  </si>
  <si>
    <t>024/2022</t>
  </si>
  <si>
    <t>e-17/026/1892/2019-1</t>
  </si>
  <si>
    <t>MITIGAÇÃO DE RISCOS NA COMUNIDADE DO PIANCÓ – BONSUCESSO</t>
  </si>
  <si>
    <t>E-17/026/797/2019</t>
  </si>
  <si>
    <t>RISCOS DE DESLIZAMENTOS NA COMUNIDADE MOREIRA PINTO – SANTO CRISTO</t>
  </si>
  <si>
    <t>460001/001913/2023</t>
  </si>
  <si>
    <t>EVITAR DESLIZAMENTOS NA COMUNIDADE DO BARÃO – PRAÇA SECA</t>
  </si>
  <si>
    <t>460001/001897/2023</t>
  </si>
  <si>
    <t>RISCOS DE DESLIZAMENTOS NA COMUNIDADE MORRO DO SERENO – PENHA</t>
  </si>
  <si>
    <t>460001/001889/2023</t>
  </si>
  <si>
    <t>RESTAURAÇÃO DO PRÉDIO DA SUPERINTENDÊNCIA DE TRANSPORTES - LARANJEIRAS</t>
  </si>
  <si>
    <t>390001/000044/2023</t>
  </si>
  <si>
    <t>CONSTRUÇÃO DE PISCINA SEMI OLÍMPICA COM FOSSO TÁTICO</t>
  </si>
  <si>
    <t>350060/000218/2022</t>
  </si>
  <si>
    <t>RESTAURO EMERGENCIAL DA BASÍLICA DE NOSSA SENHORA DA PENHA</t>
  </si>
  <si>
    <t>330018/000467/2023</t>
  </si>
  <si>
    <t>OBRAS NO CENTRO SOCIAL MIGUEL GUSTAVO ,	
RIO DE JANEIRO</t>
  </si>
  <si>
    <t>330001/001085/2025</t>
  </si>
  <si>
    <t>ADOÇÃO DE MEDIDAS VOLTADAS À MITIGAÇÃO DEDESLIZAMENTOS NA COMUNIDADE NOVA DIVINÉIA</t>
  </si>
  <si>
    <t>330001/000263/2026</t>
  </si>
  <si>
    <t>SERVIÇOS COMUNS DE ENGENHARIA PARA A SUBSECRETARIA DE PROJETOS DE ENGENHARIA</t>
  </si>
  <si>
    <t>330001/000196/2025</t>
  </si>
  <si>
    <t>ESTANDE DE ZERAGEM PARA SNIPER NAS DEPENDÊNCIAS DO ESTACIONAMENTO DA CIDADE DA POLÍCIA</t>
  </si>
  <si>
    <t>330001/000141/2026</t>
  </si>
  <si>
    <t>PROJETO INOVADOR PARA O PARQUE URBANO REI PELÉ</t>
  </si>
  <si>
    <t>300001/001670/2023</t>
  </si>
  <si>
    <t>CONCLUSÃO DAS OBRAS DO POSTO DE SALVAMENTO – PRAIA DO FLAMENGO</t>
  </si>
  <si>
    <t>270001/001192/2022</t>
  </si>
  <si>
    <t>REVITALIZAÇÃO DA INFRAESTRUTURA NOS DISTRITOS INDUSTRIAIS</t>
  </si>
  <si>
    <t>220003/001205/2024</t>
  </si>
  <si>
    <t>PAVIMENTAÇÃO DO ACESSO AO NCPFI - SANTA CRUZ</t>
  </si>
  <si>
    <t>220001/000346/2024</t>
  </si>
  <si>
    <t>MEDIDAS DE REPRESSÃO EM RISCO GEOLÓGICO NA COMUNIDADE AZEVEDO LIMA</t>
  </si>
  <si>
    <t>170026/002591/2021</t>
  </si>
  <si>
    <t>REFORMA DA QUADRA EM LINS DE VASCONCELOS</t>
  </si>
  <si>
    <t>170026/002556/2021</t>
  </si>
  <si>
    <t>RISCOS DE DESLIZAMENTOS NA COMUNIDADE LAUDELINO FREIRE – PENHA</t>
  </si>
  <si>
    <t>170026/000214/2020</t>
  </si>
  <si>
    <t>IMPLANTAÇÃO DE EDIFÍCIO ADMINISTRATIVO DO TRE</t>
  </si>
  <si>
    <t>150001/012396/2023</t>
  </si>
  <si>
    <t>MEDIDAS GEOTÉCNICAS E URBANÍSTICAS NO COROADO – SANTA TERESA</t>
  </si>
  <si>
    <t>140001/044812/2021</t>
  </si>
  <si>
    <t>CONTENÇÃO DE RISCOS NA COMUNIDADE MORRO DO SAPÊ – VAZ LOBO</t>
  </si>
  <si>
    <t>140001/043384/2020</t>
  </si>
  <si>
    <t>INTERVENÇÃO URBANÍSTICA NO MORRO DO CANTAGALO</t>
  </si>
  <si>
    <t>140001/027251/2021</t>
  </si>
  <si>
    <t>RISCOS DE DESLIZAMENTOS NA COMUNIDADE COMANDANTE LUIS SOUTO – PRAÇA SECA</t>
  </si>
  <si>
    <t>140001/022856/2023</t>
  </si>
  <si>
    <t>MEDIDAS MITIGADORAS DE RISCO NA COMUNIDADE SOLAR DA MONTANHA</t>
  </si>
  <si>
    <t>140001/017708/2021</t>
  </si>
  <si>
    <t>RISCOS DE DESLIZAMENTOS NA REGIÃO DO MORRO DO SERENO</t>
  </si>
  <si>
    <t>140001/015209/2023</t>
  </si>
  <si>
    <t>INTERVENÇÕES NA COMUNIDADE VILA SANTO AMARO – RJ</t>
  </si>
  <si>
    <t>140001/005846/2022</t>
  </si>
  <si>
    <t>RISCOS DE DESLIZAMENTOS NA COMUNIDADE FALLET – SANTA TEREZA</t>
  </si>
  <si>
    <t>140001/001016/2023</t>
  </si>
  <si>
    <t>CONTRATAÇÃO DE EMPRESA ESPECIALIZADA PARA A REALIZAÇÃO DE SERVIÇOS DE REPARO DE VIAS EM PAVIMENTO RÍGIDO E CALÇAMENTO DE VIAS EM LOGRADOUROS PÚBLICOS</t>
  </si>
  <si>
    <t>330001/001321/2025</t>
  </si>
  <si>
    <t>INFRAESTRUTURA URBANA DE RECUPERAÇÃO DE CALÇADAS, CICLOVIAS E PAVIMENTAÇÕES DE DIVERSOS LOGRADOUROS (LOTE 1 - METROPOLITANA E LOTE 2 - 2 SERRANA E CENTRO NORTE)</t>
  </si>
  <si>
    <t>330001/000113/2026</t>
  </si>
  <si>
    <t>PROJETO E OBRAS DE RESTAURANTE DO POVO, RIO DE JANEIRO/RJ (LOTE 02)</t>
  </si>
  <si>
    <t>025/2022</t>
  </si>
  <si>
    <t>e-17/026/1892/2019-2</t>
  </si>
  <si>
    <t>PAVIMENTAÇÃO E ESGOTO - BAIRRO VILLAGE, RIO DAS OSTRAS-RJ</t>
  </si>
  <si>
    <t>RIO DAS OSTRAS</t>
  </si>
  <si>
    <t>170026/001299/2022</t>
  </si>
  <si>
    <t>CONSTRUÇÃO DE PONTE NOVA COM DEMOLIÇÃO DE ESTRUTURA EXISTENTE NA RUA OSCAR FONSECA- RIO DAS OSTRAS</t>
  </si>
  <si>
    <t>330001/001557/2025</t>
  </si>
  <si>
    <t>PAVIMENTAÇÃO DA ESTRADA ROCHA LEÃO – RIO DAS OSTRAS/RJ</t>
  </si>
  <si>
    <t>330018/001451/2022</t>
  </si>
  <si>
    <t>CONSTRUÇÃO DE PONTE, CONTENÇÃO E DUPLICAÇÃO DA RJ-106 (LIGAÇÃO RIO DAS OSTRAS X MACAÉ)</t>
  </si>
  <si>
    <t>330001/000489/2025</t>
  </si>
  <si>
    <t>CONSTRUÇÃO DE GALPÃO E SEDE DA SMO – RIO DAS FLORES/RJ</t>
  </si>
  <si>
    <t>330018/001730/2022</t>
  </si>
  <si>
    <t>CONSTRUÇÃO DO PARQUE ECOLÓGICO MUNICIPAL – RIO DAS FLORES/RJ</t>
  </si>
  <si>
    <t>330018/001856/2022</t>
  </si>
  <si>
    <t>R.RITTA ENGENHARIA E SERVIÇOS LTDA</t>
  </si>
  <si>
    <t>REFORMA E ADEQUAÇÃO DA CASA DA CULTURA - RIO DAS FLORES-RJ</t>
  </si>
  <si>
    <t>460001/001630/2023</t>
  </si>
  <si>
    <t>REFORMA DA PRAÇA CORONEL SUCENA, LOCALIZADA NO CENTRO DE RIO DAS FLORES- RJ</t>
  </si>
  <si>
    <t>330001/001523/2025</t>
  </si>
  <si>
    <t>REFORMA E ADEQUAÇÃO DA CASA DO TURISTA -RIO DAS FLORES-RJ</t>
  </si>
  <si>
    <t>330001/000547/2025</t>
  </si>
  <si>
    <t>REFORMA – ESTAÇÃO CACHOEIRA DO FUNIL - RIO DAS FLORES-RJ</t>
  </si>
  <si>
    <t>021/2025</t>
  </si>
  <si>
    <t>CONSTRUÇÃO DE GALPÕES INDUSTRIAIS – RIO DAS FLORES-RJ</t>
  </si>
  <si>
    <t>069/2022</t>
  </si>
  <si>
    <t>PAVIMENTAÇÃO E DRENAGEM – ESTRADA DE TOCOS/ITAMBÉ – RIO CLARO/RJ</t>
  </si>
  <si>
    <t>330018/000686/2022</t>
  </si>
  <si>
    <t>PAVIMENTAÇÃO, DRENAGEM, CONTENÇÃO E PROJETO EXECUTIVO DA ESTRADA DA ITAOCA, RC 09, 2º DISTRITO – RIO CLARO-RJ</t>
  </si>
  <si>
    <t>460001/001671/2023</t>
  </si>
  <si>
    <t>PAVIMENTAÇÃO – 2ª ETAPA ESTRADA DE PINHEIROS – RIO CLARO/RJ</t>
  </si>
  <si>
    <t>330018/001156/2022</t>
  </si>
  <si>
    <t>PAVIMENTAÇÃO, DRENAGEM E CONTENÇÃO NA ESTRADA DA VÁRZEA – 3° DISTRITO – RIO CLARO-RJ</t>
  </si>
  <si>
    <t>460001/002057/2023</t>
  </si>
  <si>
    <t>PAVIMENTAÇÃO – RODOVIA FRANCISCO VILELA – RIO CLARO/RJ</t>
  </si>
  <si>
    <t>330018/001366/2022</t>
  </si>
  <si>
    <t>PAVIMENTAÇÃO E CONTENÇÃO – ESTRADA SERRA DOS COELHOS – RC 04  RIO CLARO-RJ</t>
  </si>
  <si>
    <t>330018/001367/2022</t>
  </si>
  <si>
    <t>PAVIMENTAÇÃO ASFÁLTICA E DRENAGEM DA ESTRADA DA VENDINHA, FAZENDA DA GRAMA - 4º DISTRITO – RIO CLARO-RJ</t>
  </si>
  <si>
    <t>170026/001279/2022</t>
  </si>
  <si>
    <t>N F COMERCIO E SERVICOS LTDA</t>
  </si>
  <si>
    <t>PAVIMENTAÇÃO E DRENAGEM – ESTRADA RIO DAS PEDRAS – RIO CLARO-RJ</t>
  </si>
  <si>
    <t>092/2022</t>
  </si>
  <si>
    <t>INFRAESTRUTURA E URBANIZAÇÃO - ESTAÇÃO DE LÍDICE, RIO CLARO-RJ</t>
  </si>
  <si>
    <t>170026/001969/2021</t>
  </si>
  <si>
    <t>CMAX EMPREENDIMENTOS, CONCRETO E CONSTRUCAO LTDA</t>
  </si>
  <si>
    <t>DRENAGEM E PASSEIOS – RUAS DE POUSO SECO – RIO CLARO-RJ</t>
  </si>
  <si>
    <t>VALLE SUL CONSTRUTORA E MINERADORA LTDA</t>
  </si>
  <si>
    <t>DRENAGEM E PAVIMENTAÇÃO – ESTRADA RC 17 – RIO CLARO-RJ</t>
  </si>
  <si>
    <t>007/2022</t>
  </si>
  <si>
    <t>DRENAGEM E PAVIMENTAÇÃO - ESTRADA DOS PINHEIROS, RIO CLARO/RJ</t>
  </si>
  <si>
    <t>PAVIMENTAÇÃO – ESTRADA ALTO DOS NEGROS – RIO CLARO-RJ</t>
  </si>
  <si>
    <t>006/2022</t>
  </si>
  <si>
    <t>GEOMECÂNICA S/A TECNOLOGIA DE SOLOS ROCHAS E MATERIAIS LTDA</t>
  </si>
  <si>
    <t>ENCOSTAS – PROJETO E OBRAS EMERGENCIAIS – SANTA LUZIA, RIO CLARO-RJ</t>
  </si>
  <si>
    <t>053/2022</t>
  </si>
  <si>
    <t>170026/000379/2022</t>
  </si>
  <si>
    <t>RESTAURAÇÃO DA ANTIGA ESTAÇÃO FERROVIÁRIA – PRAÇA ASTÉRIO ALVES DE MENDONÇA– RIO BONITO/RJ</t>
  </si>
  <si>
    <t>050003/000350/2022</t>
  </si>
  <si>
    <t>DEMOLIÇÃO E CONSTRUÇÃO DE PONTE – RIO BACAXÁ, RIO BONITO</t>
  </si>
  <si>
    <t>170026/002396/2021</t>
  </si>
  <si>
    <t>DEMOLIÇÃO E CONSTRUÇÃO DA PONTE SOBRE O RIO BOA ESPERANÇA – RIO BONITO/RJ</t>
  </si>
  <si>
    <t>004/2025</t>
  </si>
  <si>
    <t>REFORMA DE QUADRA ESPORTIVA - VISOÇA, RIO BONITO/RJ</t>
  </si>
  <si>
    <t>330001/001009/2025</t>
  </si>
  <si>
    <t>REFORMA DO VESTIÁRIO E QUADRA POLIESPORTIVA, NA AVENIDA I, ESQUINA COM A RUA 14 - ÁREA EQUIPAMENTO URBANO II , LOTEAMENTO TRÊS COQUEIROS - VIÇOSA.</t>
  </si>
  <si>
    <t>330001/000125/2026</t>
  </si>
  <si>
    <t>REDE DE DRENAGEM, PAVIMENTAÇÃO E URBANIZAÇÃO DO ACESSO SUL IPIRANGA/BULHÕES, RESENDE-RJ</t>
  </si>
  <si>
    <t>330001/000531/2025</t>
  </si>
  <si>
    <t>DRENAGEM, PAVIMENTAÇÃO, SINALIZAÇÃO E CALÇADA NO JARDIM ALIANÇA, RESENDE-RJ</t>
  </si>
  <si>
    <t>460001/002062/2023</t>
  </si>
  <si>
    <t>ABRE CONSTRUÇÃO LTDA</t>
  </si>
  <si>
    <t>PONTE, PAVIMENTAÇÃO, URBANIZAÇÃO E TERMINAL – RESENDE-RJ</t>
  </si>
  <si>
    <t>330018/001149/2022</t>
  </si>
  <si>
    <t>PRAÇA COM CAMPO SOCIETY E QUIOSQUES – VISCONDE DE MAUÁ, RESENDE-RJ</t>
  </si>
  <si>
    <t>067/2022</t>
  </si>
  <si>
    <t>170026/002018/2021</t>
  </si>
  <si>
    <t>REFORMA – PRAÇA DR. OLIVEIRA BOTELHO – RESENDE-RJ</t>
  </si>
  <si>
    <t>093/2022</t>
  </si>
  <si>
    <t>COMAL CONSTRUTORA LTDA</t>
  </si>
  <si>
    <t>DRENAGEM, PAVIMENTAÇÃO E SINALIZAÇÃO – MORADA DA BARRA, RESENDE-RJ</t>
  </si>
  <si>
    <t>010/2022</t>
  </si>
  <si>
    <t>330001/000256/2026</t>
  </si>
  <si>
    <t>TORRE DE OBSERVAÇÃO - PARQUE NACIONAL DA RESTINGA DE JURUBATIBA, QUISSAMÃ-RJ</t>
  </si>
  <si>
    <t>QUISSAMÃ</t>
  </si>
  <si>
    <t>170026/001752/2021</t>
  </si>
  <si>
    <t>RECAPEAMENTO E INFRAESTRUTURA EM QUEIMADOS – RJ</t>
  </si>
  <si>
    <t>460001/001618/2023</t>
  </si>
  <si>
    <t>DRENAGEM, PAVIMENTAÇÃO E SINALIZAÇÃO EM VISTA ALEGRE– QUEIMADOS - RJ</t>
  </si>
  <si>
    <t>330018/000091/2022</t>
  </si>
  <si>
    <t>CONTENÇÃO EM MURO GABIÃO NA AV. BEIRA RIO - QUEIMADOS/RJ</t>
  </si>
  <si>
    <t>330001/001230/2024</t>
  </si>
  <si>
    <t>DEZOITO DEZOITO SERVIÇOS E LOCAÇÕES LTDA</t>
  </si>
  <si>
    <t>REQUALIFICAÇÃO DO CONJUNTO HABITACIONAL PARQUE VALDARIOSA, QUEIMADOS/RJ</t>
  </si>
  <si>
    <t>027/2022</t>
  </si>
  <si>
    <t>170026/002773/2021</t>
  </si>
  <si>
    <t>DRENAGEM, PAVIMENTAÇÃO E SINALIZAÇÃO VIÁRIA - 2024 – VILA CAMARIM – QUEIMADOS - RJ</t>
  </si>
  <si>
    <t>011/2025</t>
  </si>
  <si>
    <t>URBANIZAÇÃO AO RIO ABEL, QUEIMADOS/RJ</t>
  </si>
  <si>
    <t>030/2022</t>
  </si>
  <si>
    <t>DRENAGEM, PAVIMENTAÇÃO E SINALIZAÇÃO VIÁRIA - 2022 – VILA CAMARIM – QUEIMADOS - RJ</t>
  </si>
  <si>
    <t>014/2023</t>
  </si>
  <si>
    <t>CONTENÇÃO, DRENAGEM E ESTABILIZAÇÃO NO MORRO DA CAIXA D`ÁGUA– QUEIMADOS - RJ</t>
  </si>
  <si>
    <t>330018/000785/2022</t>
  </si>
  <si>
    <t>CONSTRUÇÃO DO COMPLEXO EXIBIDOR – QUEIMADOS/RJ</t>
  </si>
  <si>
    <t>330018/000324/2022</t>
  </si>
  <si>
    <t>MONJARDIM CONSTRUÇÕES LTDA</t>
  </si>
  <si>
    <t>URBANIZAÇÃO DAS ÁREAS LINDEIRAS AO RIO CAMORIM – QUEIMADOS/RJ</t>
  </si>
  <si>
    <t>CONSERTO DO MURO DA RESIDÊNCIA</t>
  </si>
  <si>
    <t>330001/000165/2026</t>
  </si>
  <si>
    <t>DRENAGEM PLUVIAL E PAVIMENTAÇÃO NO BAIRRO VALDARIOSA – QUEIMADOS/RJ</t>
  </si>
  <si>
    <t>009/2023</t>
  </si>
  <si>
    <t>GRUPO MACIEL CONSTRUCOES LTDA</t>
  </si>
  <si>
    <t>PROJETO E OBRAS DE PAVIMENTAÇÃO E DRENAGEM NA VILA SÃO JOÃO, QUEIMADOS/RJ</t>
  </si>
  <si>
    <t>090/2022</t>
  </si>
  <si>
    <t>REFORMA CAMPO MUNICIPAL GERALDO BRITO – QUATIS/RJ</t>
  </si>
  <si>
    <t>170026/003331/2021</t>
  </si>
  <si>
    <t>INFRAESTRUTURA - ZONA ESPECIAL DE NEGÓCIOS, QUATIS/RJ</t>
  </si>
  <si>
    <t>086/2022</t>
  </si>
  <si>
    <t>ESTRADA DE QUATIS – DRENAGEM, ASFALTO E SINALIZAÇÃO – QUATIS-RJ</t>
  </si>
  <si>
    <t>330018/001037/2021</t>
  </si>
  <si>
    <t>CONTRATAÇÃO DE EMPRESA ESPECIALIZADA PARA EXECUÇÃO DO RECAPEAMENTO ASFÁLTICO, NA AV. HENRY RICHARD PRITCHARD-BULHÕES, DO MUNICIPIO DE PORTO REAL-RJ</t>
  </si>
  <si>
    <t>330001/001107/2025</t>
  </si>
  <si>
    <t>VALLE SUL PAVIMENTACAO E MINERACAO LTDA</t>
  </si>
  <si>
    <t>RECUPERAÇÃO DE PAVIMENTAÇÃO – POLO URBANO – PORTO REAL-RJ</t>
  </si>
  <si>
    <t>047/2022</t>
  </si>
  <si>
    <t>WTE ENGENHARIA EIRELI</t>
  </si>
  <si>
    <t>ADEQUAÇÃO VIÁRIA - ENTRADA LESTE, FREITAS SOARES, PORTO REAL/RJ</t>
  </si>
  <si>
    <t>037/2022</t>
  </si>
  <si>
    <t>170026/001868/2021</t>
  </si>
  <si>
    <t>REVITALIZAÇÃO – AV. DOM PEDRO II – PORTO REAL-RJ</t>
  </si>
  <si>
    <t>029/2022</t>
  </si>
  <si>
    <t>RC VIEIRA</t>
  </si>
  <si>
    <t>PAVIMENTAÇÃO, URBANIZAÇÃO E PRAÇAS - PORCIÚNCULA-RJ</t>
  </si>
  <si>
    <t>039/2022</t>
  </si>
  <si>
    <t>PORCIÚNCULA</t>
  </si>
  <si>
    <t>330018/000124/2022</t>
  </si>
  <si>
    <t>RESERVATÓRIO E ESTAÇÃO DE ÁGUA EM PURILÂNDIA, PORCIÚNCULA/RJ</t>
  </si>
  <si>
    <t>330018/000474/2021</t>
  </si>
  <si>
    <t>MUROS DE CONTENÇÃO EM CRISTO REI, PORCIÚNCULA/RJ</t>
  </si>
  <si>
    <t>330018/001522/2022</t>
  </si>
  <si>
    <t>CONSTRUÇÃO DE MUROS DE CONTENÇÃO EM PORCIÚNCULA/RJ</t>
  </si>
  <si>
    <t>330018/000473/2021</t>
  </si>
  <si>
    <t>IMPLANTAÇÃO E URBANIZAÇÃO DE PRAÇA NA RUA DOUTOR JOAQUIM MONTEIRO DE CASTRO,BAIRRO JOÃO FRANCISCO BRAZ</t>
  </si>
  <si>
    <t>330001/001843/2025</t>
  </si>
  <si>
    <t>CONSTRUÇÃO DE PRAÇAS DE LAZER NAS SEGUINTES LOCALIDADES DE BATE PAU, CAETÉ, DONA EMÍLIA E JOÃO FRANCISCO BRAZ</t>
  </si>
  <si>
    <t>330001/000773/2025</t>
  </si>
  <si>
    <t>ILUMINAÇÃO DE DOIS TRECHOS RODOVIÁRIOS NO MUNICÍPIO DE PORCIÚNCULA/RJ, QUAIS SEJAM, CAETÉ ATÉ A RJ-220 E RJ-230 ENTRE DONA EMÍLIA E BATE PAU, NO MUNICÍPIO DE PORCIÚNCULA/RJ</t>
  </si>
  <si>
    <t>330001/000780/2025</t>
  </si>
  <si>
    <t>CONSTRUÇÃO DE DOIS SISTEMAS DE ABASTECIMENTO DE ÁGUA PARA AS LOCALIDADES RURAIS DO CAETÉ, BATE PAU E DONA EMÍLIA, NO MUNICÍPIO DE PORCIÚNCULA/RJ</t>
  </si>
  <si>
    <t>330001/000779/2025</t>
  </si>
  <si>
    <t>PROJETO DE REFORMA E REFORÇO DAS ESTRUTURAS DAS PONTES NOS BAIRROS BOA VISTA E CENTRO, NO MUNICÍPIO DE PORCIÚNCULA/RJ</t>
  </si>
  <si>
    <t>330001/000775/2025</t>
  </si>
  <si>
    <t>CONSTRUÇÃO DE PRAÇAS DE LAZER, NAS LOCALIDADES (BATE PAU, CAETÉ, DONA EMÍLIA, SÃO JOÃO BATISTA E VALE VERDE) DO MUNICÍPIO DE PORCIÚNCULA</t>
  </si>
  <si>
    <t>330001/000703/2025</t>
  </si>
  <si>
    <t>CONTRATAÇÃO DE EMPRESA ESPECIALIZADA PARA A CONSTRUÇÃO DE UMA PONTE NOVA EM SANTA CLARA - 3º DISTRITO.</t>
  </si>
  <si>
    <t>330001/000085/2026</t>
  </si>
  <si>
    <t>OBRAS DE REFORMA NO CENTRO CULTURAL DR. EDÉSIO BARBOSA DA SILVA EM PORCIÚNCULA-RJ</t>
  </si>
  <si>
    <t>330001/001574/2025</t>
  </si>
  <si>
    <t>OBRAS DE DRENAGEM E PAVIMENTAÇÃO DA RUA VEREADOR ADIR BARROSO DE CARVALHO</t>
  </si>
  <si>
    <t>330001/001573/2025</t>
  </si>
  <si>
    <t>REFORMA DA SEDE SOCIAL E CAMPO DAS PALMEIRAS  - PINHEIRAL/RJ</t>
  </si>
  <si>
    <t>170026/000205/2022</t>
  </si>
  <si>
    <t>ERWIL CONSTRUÇÕES LTDA</t>
  </si>
  <si>
    <t>PAVIMENTAÇÃO E URBANIZAÇÃO – BAIRRO VARJÃO  - PINHEIRAL/RJ</t>
  </si>
  <si>
    <t>003/2025</t>
  </si>
  <si>
    <t>PRAÇA CAMPO DO CRUZEIRO - PINHEIRAL/RJ</t>
  </si>
  <si>
    <t>038/2022</t>
  </si>
  <si>
    <t>170026/001303/2020</t>
  </si>
  <si>
    <t>MEDEIROS E MEDEIROS CIVIL E MONTAGEM LTDA-ME</t>
  </si>
  <si>
    <t>REVITALIZAÇÃO DAS PRAÇAS TEIXEIRA CAMPOS E BRASIL – PINHEIRAL-RJ</t>
  </si>
  <si>
    <t>050/2022</t>
  </si>
  <si>
    <t>330018/000580/2022</t>
  </si>
  <si>
    <t>PROJETO EXECUTIVO E CONTENÇÃO EM RUA URUGUAI, PETRÓPOLIS</t>
  </si>
  <si>
    <t>330018/000420/2023</t>
  </si>
  <si>
    <t>CONSTRUTORA SOLIDUM  LTDA</t>
  </si>
  <si>
    <t>REFORMA E DESASSOREAMENTO DO TÚNEL EXTRAVASOR, PETRÓPOLIS</t>
  </si>
  <si>
    <t>055/2022</t>
  </si>
  <si>
    <t>170026/000539/2022</t>
  </si>
  <si>
    <t>CONTENÇÃO NA RJ 150 KM 21,7, BOM JARDIM, PETRÓPOLIS</t>
  </si>
  <si>
    <t>460001/001821/2023</t>
  </si>
  <si>
    <t>CONTENÇÃO E PAVIMENTAÇÃO EM PETRÓPOLIS/RJ</t>
  </si>
  <si>
    <t>170026/002833/2022</t>
  </si>
  <si>
    <t>ESTABILIZAÇÃO DE ENCOSTAS NO RESIDENCIAL GUSTAVO BAUER, PETRÓPOLIS</t>
  </si>
  <si>
    <t>460001/001017/2023</t>
  </si>
  <si>
    <t>CONTENÇÃO E DRENAGEM – VILA VASCONCELOS, CASTELÂNEA, PETRÓPOLIS</t>
  </si>
  <si>
    <t>170026/002666/2022</t>
  </si>
  <si>
    <t>GEOLOGUS ENGENHARIA LTDA</t>
  </si>
  <si>
    <t>CONTENÇÃO EM RUA TERESA E OUTRAS EM PETRÓPOLIS</t>
  </si>
  <si>
    <t>170026/000545/2022</t>
  </si>
  <si>
    <t>CONSÓRCIO EMERGÊNCIA QUITANDINHA (DRV ENGENHARIA - EIRELI e GEOLOGUS ENGENHARIA LTDA)</t>
  </si>
  <si>
    <t>STABILIZAÇÃO DE TALUDES NA RUA URUGUAI NO BAIRRO QUITANDINHA-PETROPOLIS</t>
  </si>
  <si>
    <t>028/2025</t>
  </si>
  <si>
    <t>REFORMA E AMPLIAÇÃO DO HOSPITAL ALCIDES CARNEIRO – PETRÓPOLIS, RJ.</t>
  </si>
  <si>
    <t>E-17/001/3053/2013</t>
  </si>
  <si>
    <t>RECUPERAÇÃO DA CANALIZAÇÃO NA AV. WASHINGTON LUIZ, PETRÓPOLIS</t>
  </si>
  <si>
    <t>170026/000537/2022</t>
  </si>
  <si>
    <t>DRENAGEM E ESTABILIZAÇÃO NA RUA PAULISTA, PETRÓPOLIS</t>
  </si>
  <si>
    <t>330018/000175/2023</t>
  </si>
  <si>
    <t>CONSÓRCIO ECONORTE GEOSONDA - CASTELÃNEA  - PETROPOLIS ( ECONORTE, MEIO AMBIENTE, INFRAESTRUTURA E SERVIÇO LTDA E GEOSONDA S/A)</t>
  </si>
  <si>
    <t>CONTENÇÃO E DRENAGEM EM CASTELÂNEA, PETRÓPOLIS</t>
  </si>
  <si>
    <t>068/2022</t>
  </si>
  <si>
    <t>ENGE PRAT ENGENHARIA E SERVICOS LTDA.</t>
  </si>
  <si>
    <t>RECUPERAÇÃO DO TÚNEL EXTRAVASOR EM PETRÓPOLIS</t>
  </si>
  <si>
    <t>033/2023</t>
  </si>
  <si>
    <t>CONTENÇÃO E DRENAGEM EM RUA PEDRO I, PETRÓPOLIS</t>
  </si>
  <si>
    <t>170026/000548/2022</t>
  </si>
  <si>
    <t>ECONORTE, MEIO AMBIENTE, INFRAESTRUTURA E SERVIÇOS LTDA</t>
  </si>
  <si>
    <t>CONTENÇÃO E DRENAGEM EM VILA VASCONCELOS, PETRÓPOLIS</t>
  </si>
  <si>
    <t>006/2025</t>
  </si>
  <si>
    <t>COORDENA COORDENAÇÃO DE PROJETOS LTDA</t>
  </si>
  <si>
    <t>GERENCIAMENTO E PROJETOS NA BACIA DO RIO QUITANDINHA, PETRÓPOLIS</t>
  </si>
  <si>
    <t>051/2022</t>
  </si>
  <si>
    <t>170026/001072/2022</t>
  </si>
  <si>
    <t>ENGENHARIA E GEOTECNIA – PETRÓPOLIS</t>
  </si>
  <si>
    <t>460001/001920/2023</t>
  </si>
  <si>
    <t>INTERVENÇÕES – RUA SÃO SEBASTIÃO, PETRÓPOLIS</t>
  </si>
  <si>
    <t>330001/001734/2024</t>
  </si>
  <si>
    <t>CONTENÇÃO DE ENCOSTAS – COMUNIDADE 24 DE MAIO, PETRÓPOLIS</t>
  </si>
  <si>
    <t>330001/001708/2024</t>
  </si>
  <si>
    <t>PLANO DE INTERVENÇÕES – ÁREAS DE RISCO, PETRÓPOLIS</t>
  </si>
  <si>
    <t>330001/000557/2024</t>
  </si>
  <si>
    <t>SERVIÇOS EMERGENCIAIS DE CONTENÇÃO E DRENAGEM NAS RUAS  CONDE'EU e OLAVO BILAC, NO BAIRRO CASTELÂNEA, NO MUNICIPIO DE PETRÓPOLIS-RJ</t>
  </si>
  <si>
    <t>170026/002751/2022</t>
  </si>
  <si>
    <t>CONTRATAÇÃO EMERGENCIAL DE SERVIÇOS PRELIMINARES DE LIMPEZA - AV. PORTUGAL, PRÓXIMO À FÁBRICA HELIOT NO BAIRRO VAL PARAISO, NO MUNICÍPIO DE PETRÓPOLIS</t>
  </si>
  <si>
    <t>170026/001756/2022</t>
  </si>
  <si>
    <t>CONTRATAÇÃO EMERGENCIAL DE SERVIÇOS PRELIMINARES- COMPLEXO RUA TERESA/RUA 24 DE MAIO, NO MUNICIPIO DE PETROPOLIS</t>
  </si>
  <si>
    <t>170026/001750/2022</t>
  </si>
  <si>
    <t>SERVIÇOS PRELIMINARES DE LIMPEZA- AVENIDA WASHINGTON LUIZ, PONTO 1, NO TRECHO PRÓXIMO A ANTIGA FÁBRICA DE TECIDOS, NO MUNICIPIO DE PETRÓPOLIS</t>
  </si>
  <si>
    <t>170026/001743/2022</t>
  </si>
  <si>
    <t>BARRA NOVA ENGENHARIA LTDA</t>
  </si>
  <si>
    <t>CONTENÇÃO E DRENAGEM NA AV. PORTUGAL, PETRÓPOLIS</t>
  </si>
  <si>
    <t>044/2022</t>
  </si>
  <si>
    <t>170026/000549/2022</t>
  </si>
  <si>
    <t>PAVIMENTAÇÃO E DRENAGEM - BAIRRO PALMARES - PATY DO ALFERES/RJ</t>
  </si>
  <si>
    <t>PATY DO ALFERES</t>
  </si>
  <si>
    <t>330018/001157/2022</t>
  </si>
  <si>
    <t>PAVIMENTAÇÃO E DRENAGEM - ESTRADA DAS MANGUEIRAS - ARCOZELO/RJ - PATY DO ALFERES/RJ</t>
  </si>
  <si>
    <t>330018/001171/2022</t>
  </si>
  <si>
    <t>CONTRATAÇÃO DE EMPRESA ESPECIALIZADA PARA EXECUÇÃO DE OBRAS DE PAVIMENTAÇÃO, DRENAGEM E SINALIZAÇÃO, COM ELABORAÇÃO DE PROJETO EXECUTIVO, NO BAIRRO COQUEIROS/CAPIVARA, NO MUNICÍPIO DE PATY DO ALFERES/RJ</t>
  </si>
  <si>
    <t>330001/001575/2025</t>
  </si>
  <si>
    <t>CONSTRUÇÃO DE DOIS GALPÕES INDUSTRIAIS EM PATY DO ALFERES/RJ</t>
  </si>
  <si>
    <t>330018/000862/2022</t>
  </si>
  <si>
    <t>CONSORCIO VALPLAT CONSTRUCOES E START CONSULTORIA</t>
  </si>
  <si>
    <t>INFRAESTRUTURA EM LOGRADOUROS - PATY DO ALFERES/RJ</t>
  </si>
  <si>
    <t>004/2023</t>
  </si>
  <si>
    <t>CONTRATAÇÃO DE EMPRESA ESPECIALIZADA NA EXECUÇÃO DE OBRAS DE PAVIMENTAÇÃO, DRENAGEM E SINALIZAÇÃO, COM ELABORAÇÃO DE PROJETO EXECUTIVO, LOCALIZADA NO BAIRRO MARAVILHA/ARCOZELO, NO MUNICÍPIO DE PATY DO ALFERES/RJ</t>
  </si>
  <si>
    <t>330001/001624/2025</t>
  </si>
  <si>
    <t>DRENAGEM E PAVIMENTAÇÃO – BAIRRO JABAQUARA – PARATY/RJ</t>
  </si>
  <si>
    <t>PARATY</t>
  </si>
  <si>
    <t>330018/001365/2022</t>
  </si>
  <si>
    <t>PAVIMENTAÇÃO, DRENAGEM E PONTE NA ESTRADA TIRADENTES – PARAÍBA DO SUL/RJ</t>
  </si>
  <si>
    <t>071/2022</t>
  </si>
  <si>
    <t>REVITALIZAÇÃO QUADRA POLIESPORTIVA PAULO ROBERTO – PARAÍBA DO SUL/RJ</t>
  </si>
  <si>
    <t>170026/003111/2021</t>
  </si>
  <si>
    <t>REVITALIZAÇÃO DA QUADRA MARIA ROSA FILÓ – PARAÍBA DO SUL/RJ</t>
  </si>
  <si>
    <t>330018/000199/2022</t>
  </si>
  <si>
    <t>REVITALIZAÇÃO DA QUADRA ALÍPIO GARCIA – PARAÍBA DO SUL/RJ</t>
  </si>
  <si>
    <t>330018/000200/2022</t>
  </si>
  <si>
    <t>REVITALIZAÇÃO DA QUADRA – PARQUE DE EXPOSIÇÕES – PARAÍBA DO SUL/RJ</t>
  </si>
  <si>
    <t>330018/000197/2022</t>
  </si>
  <si>
    <t>REFORMA DA PRAÇA RIO MANSO – PARAÍBA DO SUL/RJ</t>
  </si>
  <si>
    <t>330018/000702/2022</t>
  </si>
  <si>
    <t>REFORMA DA PRAÇA SÃO SEBASTIÃO EM FERNANDÓ, PARAÍBA DO SUL/RJ</t>
  </si>
  <si>
    <t>330018/000721/2022</t>
  </si>
  <si>
    <t>REFORMA DA PRAÇA GOV. ROBERTO DA SILVEIRA – PARAÍBA DO SUL/RJ</t>
  </si>
  <si>
    <t>330018/000704/2022</t>
  </si>
  <si>
    <t>REFORMA DA PRAÇA DA BANDEIRA, PARAÍBA DO SUL/RJ</t>
  </si>
  <si>
    <t>330018/000711/2022</t>
  </si>
  <si>
    <t>PÓRTICOS NA RUA JOSÉ TAVARES DOS RÉIS, PARAÍBA DO SUL/RJ</t>
  </si>
  <si>
    <t>330018/001008/2022</t>
  </si>
  <si>
    <t>REVITALIZAÇÃO DAS PRAÇAS CURUPAITI, BREJAL E BELA VISTA - PARAÍBA DO SUL/RJ</t>
  </si>
  <si>
    <t>007/2021</t>
  </si>
  <si>
    <t>REFORMA DA PRAÇA DA LIBERDADE – PARAÍBA DO SUL/RJ</t>
  </si>
  <si>
    <t>330018/000689/2022</t>
  </si>
  <si>
    <t>REVITALIZAÇÃO QUADRA POLIESPORTIVA JOSÉ EDÍLIO – PARAÍBA DO SUL/RJ</t>
  </si>
  <si>
    <t>170026/003128/2021</t>
  </si>
  <si>
    <t>AUXÍLIO PARA DESASTRE NA RUA DAS AZALÉIAS - JARDIM NOVA ERA - PARACAMBI</t>
  </si>
  <si>
    <t>PARACAMBI</t>
  </si>
  <si>
    <t>330001/001110/2024</t>
  </si>
  <si>
    <t>EXECUÇÃO DE OBRAS DE REFORMA, AMPLIAÇÃO E ADEQUAÇÃO DO HORTO MUNICIPAL EM PARACAMBI/RJ</t>
  </si>
  <si>
    <t>460001/000815/2023</t>
  </si>
  <si>
    <t>REFORMA E AMPLIAÇÃO DO SETOR DE URGÊNCIA/EMERGÊNCIA DO HOSPITAL DR. ADALBERTO DA GRAÇA, PARACAMBI/RJ</t>
  </si>
  <si>
    <t>170026/002937/2021</t>
  </si>
  <si>
    <t>AUXÍLIO PARA DESASTRE NA RUA GEORGE FRANZ GOLLA - RAIA - PARACAMBI</t>
  </si>
  <si>
    <t>330001/001117/2024</t>
  </si>
  <si>
    <t>REVITALIZAÇÃO DAS QUADRAS POLIESPORTIVAS EM PARAÍBA DO SUL/RJ - PARACAMBI</t>
  </si>
  <si>
    <t>170026/003167/2022</t>
  </si>
  <si>
    <t>AUXÍLIO PARA DESASTRE NA RUA VER. DALILA FERNANDES - FÁBRICA - PARACAMBI</t>
  </si>
  <si>
    <t>330001/001119/2024</t>
  </si>
  <si>
    <t>AUXÍLIO PARA DESASTRE NA CANAL ALBERTO LEAL E DALI - PARACAMBI</t>
  </si>
  <si>
    <t>330001/001114/2024</t>
  </si>
  <si>
    <t>AUXÍLIO PARA DESASTRE NA RUA HÉLIO FERREIRA DA SILVA - PARACAMBI</t>
  </si>
  <si>
    <t>330001/001122/2024</t>
  </si>
  <si>
    <t>OBRAS EM RESPOSTA AO DESMORONAMENTO NA PONTE RUA 10 - PARACAMBI</t>
  </si>
  <si>
    <t>330001/001120/2024</t>
  </si>
  <si>
    <t>AUXÍLIO PARA DESASTRE NA PONTE ELI DO AMPARO - PARACAMBI</t>
  </si>
  <si>
    <t>330001/001116/2024</t>
  </si>
  <si>
    <t>OBRAS EM RESPOSTA AO DESMORONAMENTO DO CANAL RIO DOS MACACOS - PARACAMBI</t>
  </si>
  <si>
    <t>330001/001112/2024</t>
  </si>
  <si>
    <t>AUXÍLIO PARA DESASTRE NA PONTE DOMINIQUE LEVE - PARACAMBI</t>
  </si>
  <si>
    <t>330001/001111/2024</t>
  </si>
  <si>
    <t>AUXÍLIO PARA DESASTRE - PARACAMBI</t>
  </si>
  <si>
    <t>330001/000315/2024</t>
  </si>
  <si>
    <t>REVESTIMENTO ASFÁLTICO – NOVA IGUAÇU/RJ</t>
  </si>
  <si>
    <t>330018/000949/2022</t>
  </si>
  <si>
    <t>REVESTIMENTO ASFÁLTICO E DRENAGEM NOS BAIRROS MARAMBAIA, RECREIO PAÇO DA MARAMBAIA E IGUAÇU VELHO, NOVA IGUAÇU/RJ</t>
  </si>
  <si>
    <t>330018/000859/2021</t>
  </si>
  <si>
    <t>PAVIMENTAÇÃO E DRENAGEM NO BAIRRO MARAMBAIA, NOVA IGUAÇU/RJ</t>
  </si>
  <si>
    <t>330018/000040/2022</t>
  </si>
  <si>
    <t>DRENAGEM E PAVIMENTAÇÃO EM LAGOINHA – NOVA IGUAÇU/RJ</t>
  </si>
  <si>
    <t>330018/000531/2022</t>
  </si>
  <si>
    <t>ASFALTAMENTO E DRENAGEM – BAIRRO GRANDE RIO – NOVA IGUAÇU/RJ</t>
  </si>
  <si>
    <t>330018/000042/2022</t>
  </si>
  <si>
    <t>DRENAGEM E PAVIMENTAÇÃO EM CABUÇU – NOVA IGUAÇU/RJ</t>
  </si>
  <si>
    <t>330018/000696/2022</t>
  </si>
  <si>
    <t>DRENAGEM E PAVIMENTAÇÃO NA ESTRADA DO TINGUAZINHO E SANTANA, NOVA IGUAÇU/RJ</t>
  </si>
  <si>
    <t>460001/000540/2023</t>
  </si>
  <si>
    <t>REVESTIMENTO ASFÁLTICO E MACRODRENAGEM NO BAIRRO TINGUÁ, NOVA IGUAÇU/RJ</t>
  </si>
  <si>
    <t>330018/000695/2022</t>
  </si>
  <si>
    <t>IMPLANTAÇÃO DE CICLOVIA E CALÇADA NA ESTRADA ZUMBI – NOVA IGUAÇU/RJ</t>
  </si>
  <si>
    <t>024/2023</t>
  </si>
  <si>
    <t>ORIENTE CONSTRUCAO CIVIL LTDA</t>
  </si>
  <si>
    <t>DRENAGEM E PAVIMENTAÇÃO NO SÃO FRANCISCO DE PAULA 2 – NOVA IGUAÇU/RJ</t>
  </si>
  <si>
    <t>002/2024</t>
  </si>
  <si>
    <t>MACRODRENAGEM E RECUPERAÇÃO DE PAVIMENTAÇÃO – NOVA IGUAÇU/RJ</t>
  </si>
  <si>
    <t>011/2023</t>
  </si>
  <si>
    <t>PAVIMENTAÇÃO E DRENAGEM NO EXTRAVASOR RIO DA PRATA, NOVA IGUAÇU/RJ</t>
  </si>
  <si>
    <t>170026/001174/2022</t>
  </si>
  <si>
    <t>DRENAGEM NA ESTRADA DO RIACHÃO – NOVA IGUAÇU/RJ</t>
  </si>
  <si>
    <t>330018/001195/2022</t>
  </si>
  <si>
    <t>DRATEC ENGENHARIA LTDA</t>
  </si>
  <si>
    <t>CANALIZAÇÃO DO CANAL ABEL - NOVA IGUAÇU E QUEIMADOS</t>
  </si>
  <si>
    <t>070/2022</t>
  </si>
  <si>
    <t>MICRODRENAGEM E PAVIMENTAÇÃO NO BAIRRO AUSTIN - NOVA IGUAÇU</t>
  </si>
  <si>
    <t>022/2022</t>
  </si>
  <si>
    <t>REVESTIMENTO ASFÁLTICO E DRENAGEM NO BAIRRO VALVERDE – NOVA IGUAÇU/RJ</t>
  </si>
  <si>
    <t>002/2023</t>
  </si>
  <si>
    <t>CONSTRUTEC MANUTENÇÃO, CONSTRUÇÃO E REFORMAS LTDA</t>
  </si>
  <si>
    <t>DRENAGEM PLUVIAL E PAVIMENTAÇÃO NO BAIRRO MIGUEL COUTO – NOVA IGUAÇU/RJ</t>
  </si>
  <si>
    <t>037/2023</t>
  </si>
  <si>
    <t>HOSPITAL COVID-19, NO MUNICÍPIO DE NOVA IGUAÇU</t>
  </si>
  <si>
    <t>EXECUÇÃO DE OBRAS DE CONTENÇÃO E DRENAGEM EM VILA NOVA, NOVA FRIBURGO/RJ</t>
  </si>
  <si>
    <t>E-17/001/781/2017</t>
  </si>
  <si>
    <t>EXECUÇÃO DE OBRAS DE CONTENÇÃO E DRENAGEM EM NOVA FRIBURGO/RJ (Jardinlândia II)</t>
  </si>
  <si>
    <t>009/2020</t>
  </si>
  <si>
    <t>E-17/001/779/2017</t>
  </si>
  <si>
    <t>REQUALIFICAÇÃO URBANA – CENTRO, NOVA FRIBURGO</t>
  </si>
  <si>
    <t>330018/000417/2023</t>
  </si>
  <si>
    <t>CONTENÇÃO E DRENAGEM - DUAS PEDRAS/LAZARETO, NOVA FRIBURGO-RJ</t>
  </si>
  <si>
    <t>016/2021</t>
  </si>
  <si>
    <t>E-17/001/780/2017</t>
  </si>
  <si>
    <t>EXECUÇÃO DE OBRAS DE CONTENÇÃO E DRENAGEM EM NOVA FRIBURGO/RJ (Jardim Califórnia)</t>
  </si>
  <si>
    <t>004/2019</t>
  </si>
  <si>
    <t>E-17/001/778/2017</t>
  </si>
  <si>
    <t>ROSENGE CONSTRUÇÕES E SERVIÇOS LTDA</t>
  </si>
  <si>
    <t>PROJETO EXECUTIVO E CONTENÇÃO E DRENAGEM EM FLORESTA, NOVA FRIBURGO/RJ</t>
  </si>
  <si>
    <t>019/2021</t>
  </si>
  <si>
    <t>e-17/001/100770/2018</t>
  </si>
  <si>
    <t>CONCLUSÃO DO HOSPITAL DE ONCOLOGIA EM NOVA FRIBURGO</t>
  </si>
  <si>
    <t>INFRAESTRUTURA – LOTEAMENTO TERREIRÃO, NOVA FRIBURGO</t>
  </si>
  <si>
    <t>170026/000411/2022</t>
  </si>
  <si>
    <t xml:space="preserve">SOPE SOCIEDADE DE OBRAS E PROJETOS DE ENGENHARIA  LTDA.
</t>
  </si>
  <si>
    <t>EXECUÇÃO DE OBRAS DE CONTENÇÃO E DRENAGEM EM RUY SANGLARD, NOVA FRIBURGO/RJ</t>
  </si>
  <si>
    <t>005/2019</t>
  </si>
  <si>
    <t>E-17/001/292/2018</t>
  </si>
  <si>
    <t>CORTINA ATIRANTADA E DRENAGEM – NOVA FRIBURGO</t>
  </si>
  <si>
    <t>330018/000614/2021</t>
  </si>
  <si>
    <t>OMEGA CONSTRUTORA E SERVICOS LTDA</t>
  </si>
  <si>
    <t>PAVIMENTAÇÃO E DRENAGEM EM CENTRO DE NOVA FRIBURGO</t>
  </si>
  <si>
    <t>036/2022</t>
  </si>
  <si>
    <t>GERENCIAMENTO DE OBRAS DE CONTENÇÃO EM NOVA FRIBURGO/RJ (Duas Pedras)</t>
  </si>
  <si>
    <t>018/2021</t>
  </si>
  <si>
    <t>E-17/001/100816</t>
  </si>
  <si>
    <t>ENGENHARIA E GEOTECNIA – RUAS AUGUSTO GOMES E JOSÉ VELOSO -NOVA FRIBURGO</t>
  </si>
  <si>
    <t>460001/001914/2023</t>
  </si>
  <si>
    <t>INTERVENÇÕES DE ENGENHARIA NO PARQUE MARIA TEREZA - NOVA FRIBURGO</t>
  </si>
  <si>
    <t>330001/001893/2024</t>
  </si>
  <si>
    <t>ENGENHARIA E GEOTECNIA – LOTEAMENTO TRÊS IRMÃOS E SÃO JORGE - NOVA FRIBURGO</t>
  </si>
  <si>
    <t>460001/001893/2023</t>
  </si>
  <si>
    <t>ENGENHARIA E GEOTECNIA – BAIRRO RUI SANGLARD</t>
  </si>
  <si>
    <t>330001/000533/2024</t>
  </si>
  <si>
    <t>ENGENHARIA E GEOTECNIA – ALAMEDA EDUARDO GUINLE – NOVA FRIBURGO</t>
  </si>
  <si>
    <t>330001/000529/2024</t>
  </si>
  <si>
    <t>ENGENHARIA E GEOTECNIA – PARQUE SANTA ELISA</t>
  </si>
  <si>
    <t>330001/001179/2024</t>
  </si>
  <si>
    <t>NOVACAP ENGENHARIA, INDUSTRIS E COMERCIO LTDA</t>
  </si>
  <si>
    <t>PAVIMENTAÇÃO E DRENAGEM EM MINAS GERAIS, NOVA FRIBURGO</t>
  </si>
  <si>
    <t>330018/001017/2021</t>
  </si>
  <si>
    <t>ENGENHARIA E GEOTECNIA – RUA CHICO MENDES, CORDOEIRA – NOVA FRIBURGO</t>
  </si>
  <si>
    <t>460001/001919/2023</t>
  </si>
  <si>
    <t>ENGENHARIA E GEOTECNIA – BAIRRO SÃO GERALDO – NOVA FRIBURGO</t>
  </si>
  <si>
    <t>460001/001896/2023</t>
  </si>
  <si>
    <t>ENGENHARIA E GEOTECNIA – RUAS JOSÉ PINHEIRO E JOSÉ SILVA – NOVA FRIBURGO</t>
  </si>
  <si>
    <t>460001/001894/2023</t>
  </si>
  <si>
    <t>ENGENHARIA – RUA ANTÔNIO PINTO SOBRINHO, NOVA FRIBURGO</t>
  </si>
  <si>
    <t>330001/001707/2024</t>
  </si>
  <si>
    <t>ENGENHARIA E GEOTECNIA – SETOR 14, NOVA FRIBURGO</t>
  </si>
  <si>
    <t>330001/001705/2024</t>
  </si>
  <si>
    <t>CONTENÇÃO DE BLOCOS DE PEDRA – JARDIM OURO PRETO – NOVA FRIBURGO</t>
  </si>
  <si>
    <t>330001/001704/2024</t>
  </si>
  <si>
    <t>EXECUÇÃO DE MEDIDAS QUE MINIMIZEM OS RISCOS DE DESLIZAMENTOS NA ÁREA DELIMITADA NO ESTUDO TÉCNICO DO CRPM/SERVIÇO GEOLÓGICO DO BRASIL COMO SETOR 40, NAS PROXIMIDADES DA RUA LAS VEGAS, LOTEAMENTO ROSA BRANCA, NO BAIRRO DE SÃO JORGE-NOVA FRIBURGO</t>
  </si>
  <si>
    <t>330001/001364/2025</t>
  </si>
  <si>
    <t>ENGENHARIA E GEOTECNIA – OLARIA, NOVA FRIBURGO</t>
  </si>
  <si>
    <t>330001/001123/2024</t>
  </si>
  <si>
    <t>ENGENHARIA E GEOTECNIA – JARDIM CALIFÓRNIA, NOVA FRIBURGO</t>
  </si>
  <si>
    <t>330001/001101/2024</t>
  </si>
  <si>
    <t>ENGENHARIA, GEOTECNIA E URBANISMO – RUA ALEXANDRE KOROTINSKY – NOVA FRIBURGO</t>
  </si>
  <si>
    <t>330001/001022/2024</t>
  </si>
  <si>
    <t>CONTENÇÃO DE ENCOSTAS – BAIRRO PAISSANDU – NOVA FRIBURGO</t>
  </si>
  <si>
    <t>330001/000840/2024</t>
  </si>
  <si>
    <t>CONSTRUÇÃO DO COMPLEXO TERRA NOVA – NOVA FRIBURGO</t>
  </si>
  <si>
    <t>170026/002811/2021</t>
  </si>
  <si>
    <t>DRENAGEM E PAVIMENTAÇÃO – BAIRRO VARGINHA, NOVA FRIBURGO</t>
  </si>
  <si>
    <t>170026/000167/2022</t>
  </si>
  <si>
    <t>ENGENHARIA E GEOTECNIA – BAIRRO GRANJA SPINELLI – NOVA FRIBURGO</t>
  </si>
  <si>
    <t>140013/000488/2022</t>
  </si>
  <si>
    <t>ESTABILIZAÇÃO DE ENCOSTA – AV. FERROVIÁRIOS, NOVA FRIBURGO</t>
  </si>
  <si>
    <t>016/2022</t>
  </si>
  <si>
    <t>GHS EMPREENDIMENTOS IMOBILIARIOS LTDA</t>
  </si>
  <si>
    <t>REQUALIFICAÇÃO DO CONJUNTO HABITACIONAL BENJAMIN CONSTANT, NITEROI/RJ</t>
  </si>
  <si>
    <t>066/2022</t>
  </si>
  <si>
    <t>NITERÓI</t>
  </si>
  <si>
    <t>170026/000141/2022</t>
  </si>
  <si>
    <t>REURBANIZAÇÃO DE VIAS, CALÇADAS, DRENAGEM E REVITALIZAÇÃO DE VIADUTO – 1° DISTRITO DE NILÓPOLIS/RJ</t>
  </si>
  <si>
    <t>330018/001086/2022</t>
  </si>
  <si>
    <t>REURBANIZAÇÃO E RECUPERAÇÃO ESTRUTURAL EM NILÓPOLIS</t>
  </si>
  <si>
    <t>330001/001033/2024</t>
  </si>
  <si>
    <t>REURBANIZAÇÃO DE VIAS, CALÇADAS, DRENAGEM E CONTENÇÃO NO 2° DISTRITO DE NILÓPOLIS/RJ</t>
  </si>
  <si>
    <t>330018/001091/2022</t>
  </si>
  <si>
    <t>REURBANIZAÇÃO E DRENAGEM NO 2º DISTRITO - NILÓPOLIS/RJ</t>
  </si>
  <si>
    <t>330001/001034/2024</t>
  </si>
  <si>
    <t>MARENGE ENGENHARIA CONSTRUCOES E SERVICOS LTDA</t>
  </si>
  <si>
    <t>CONTENÇÃO DE ENCOSTA NA RUA GENERAL OLÍMPIO DA FONSECA - NILÓPOLIS/RJ</t>
  </si>
  <si>
    <t>012/2025</t>
  </si>
  <si>
    <t>CONTENÇÃO DE ENCOSTA NA RUA NOSSA SENHORA DE FÁTIMA - NILÓPOLIS/RJ</t>
  </si>
  <si>
    <t>002/2025</t>
  </si>
  <si>
    <t>OBRAS DE CONTENÇÃO EM NILÓPOLIS – RJ</t>
  </si>
  <si>
    <t>330001/001457/2024</t>
  </si>
  <si>
    <t>CONTENÇÃO DE CORTINA ATIRANTADA NA RUA JOSÉ FORTES - NILÓPOLIS/RJ</t>
  </si>
  <si>
    <t>330001/001483/2024</t>
  </si>
  <si>
    <t>MJRE CONSTRUTORA LTDA</t>
  </si>
  <si>
    <t>CONTENÇÃO DE ENCOSTAS, REFORMA DE PRAÇAS E URBANIZAÇÃO NO PRIMEIRO DISTRITO DE NILÓPOLIS</t>
  </si>
  <si>
    <t>SEEL SERVICOS ESPECIAIS DE ENGENHARIA LTDA</t>
  </si>
  <si>
    <t>CONTENÇÃO DE ENCOSTAS, REFORMA DE CALÇADÃO E URBANIZAÇÃO NO 2º DISTRITO DE NILÓPOLIS</t>
  </si>
  <si>
    <t>008/2021</t>
  </si>
  <si>
    <t>330018/000712/2021</t>
  </si>
  <si>
    <t>CONSTRUÇÃO DE CONTENÇÃO DE ENCOSTA – TRAVESSA JOÃO FREITAS - NILÓPOLIS - RJ</t>
  </si>
  <si>
    <t>330001/001467/2024</t>
  </si>
  <si>
    <t>CONTENÇÃO DE ENCOSTA NA RUA MONSENHOR JOÃO FELIPE - NILÓPOLIS/RJ</t>
  </si>
  <si>
    <t>330001/001487/2024</t>
  </si>
  <si>
    <t>CONTENÇÃO DE ENCOSTA COM SOLO GRAMPEADO NA RUA CÂNDIDA - NILÓPOLIS/RJ</t>
  </si>
  <si>
    <t>330001/001486/2024</t>
  </si>
  <si>
    <t>CONSTRUÇÃO DE CONTENÇÃO DE ENCOSTA – RUA JOSÉ COUTO GUIMARÃES - NILÓPOLIS - RJ</t>
  </si>
  <si>
    <t>330001/001466/2024</t>
  </si>
  <si>
    <t>ATENDIMENTO EM RUAS AFETADAS POR CHUVAS RUA CARLOS ALVES DE OLIVEIRA - NILÓPOLIS/RJ</t>
  </si>
  <si>
    <t>330001/000088/2024</t>
  </si>
  <si>
    <t>CONTENÇÃO DE ENCOSTA NA TRAVESSA NATIVIDADE - NILÓPOLIS/RJ</t>
  </si>
  <si>
    <t>021/2024</t>
  </si>
  <si>
    <t>CONTENÇÃO DE ENCOSTA NA RUA GENERAL MENA BARRETO - NILÓPOLIS/RJ</t>
  </si>
  <si>
    <t>022/2024</t>
  </si>
  <si>
    <t>REVITALIZAÇÃO COM PAVIMENTAÇÃO E ACESSIBILIDADE - NATIVIDADE/RJ</t>
  </si>
  <si>
    <t>NATIVIDADE</t>
  </si>
  <si>
    <t>460001/001204/2023</t>
  </si>
  <si>
    <t>RECONSTRUÇÃO DA ESCOLA CRECHE SEIS DE SETEMBRO - NATIVIDADE/RJ</t>
  </si>
  <si>
    <t>330001/001238/2025</t>
  </si>
  <si>
    <t>SUBSTITUIÇÃO DE ILUMINAÇÃO PÚBLICA POR LED - MIRACEMA/RJ</t>
  </si>
  <si>
    <t>MIRACEMA</t>
  </si>
  <si>
    <t>330018/000563/2021</t>
  </si>
  <si>
    <t>ESCOLA NO BAIRRO JARDIM BEVERLY - MIRACEMA/RJ</t>
  </si>
  <si>
    <t>460001/000646/2023</t>
  </si>
  <si>
    <t>SEDE PARA NÚCLEO DE ATENDIMENTO ESPECIALIZADO - NAE - MIRACEMA/RJ</t>
  </si>
  <si>
    <t>460001/000586/2023</t>
  </si>
  <si>
    <t>RESTAURAÇÃO DO ANTIGO AERO CLUBE - MIRACEMA/RJ</t>
  </si>
  <si>
    <t>330018/001861/2022</t>
  </si>
  <si>
    <t xml:space="preserve">	
CONSTRUÇÃO DE PONTE NOVA COM DEMOLIÇÃO DE ESTRUTURA EXISTE RJ188</t>
  </si>
  <si>
    <t>330001/001558/2025</t>
  </si>
  <si>
    <t>PAVIMENTAÇÃO EM AV. JOÃO GOULART E OUTRAS - MIRACEMA/RJ</t>
  </si>
  <si>
    <t>170026/003304/2021</t>
  </si>
  <si>
    <t>CONSTRUÇÃO DE UNIDADE ESCOLAR - ENGENHO NOVO - MIRACEMA/RJ</t>
  </si>
  <si>
    <t>170026/002605/2021</t>
  </si>
  <si>
    <t>CONCLUSÃO DA PRAÇA JUVENTUDE E GINÁSIO - MIRACEMA/RJ</t>
  </si>
  <si>
    <t>170026/000433/2021</t>
  </si>
  <si>
    <t>CONSTRUÇÃO DE 2 QUADRAS POLIESPORTIVAS - MIRACEMA/RJ</t>
  </si>
  <si>
    <t>150001/026634/2022</t>
  </si>
  <si>
    <t>RECUPERAÇÃO DE PAVIMENTAÇÃO E SINALIZAÇÃO VIÁRIA EM VIAS URBANAS - MIGUEL PEREIRA/RJ</t>
  </si>
  <si>
    <t>330018/000460/2023</t>
  </si>
  <si>
    <t>EXECUÇÃO DE OBRAS DO COMPLEXO JUDICIÁRIO - MIGUEL PEREIRA/RJ</t>
  </si>
  <si>
    <t>330018/001806/2022</t>
  </si>
  <si>
    <t>CONSTRUÇÃO DO CENTRO DE CONVENÇÕES JACKSON UCHOA VIANNA – MIGUEL PEREIRA/RJ</t>
  </si>
  <si>
    <t>011/2024</t>
  </si>
  <si>
    <t>DRENAGEM E PAVIMENTAÇÃO - MIGUEL PEREIRA/RJ</t>
  </si>
  <si>
    <t>028/2023</t>
  </si>
  <si>
    <t>CONTENÇÃO COM CORTINA ATIRANTADA E SOLO GRAMPEADO NA RJ-125 – MIGUEL PEREIRA/RJ</t>
  </si>
  <si>
    <t>330001/001482/2024</t>
  </si>
  <si>
    <t>GEOGRAF CONSTRUÇÕES E REFORMAS LTDA</t>
  </si>
  <si>
    <t>CONSTRUÇÃO DE CICLOVIA NA AVENIDA CÉSAR LATTES – MIGUEL PEREIRA/RJ</t>
  </si>
  <si>
    <t>170026/002350/2021</t>
  </si>
  <si>
    <t>REFORMA DA QUADRA SÃO JUDAS TADEU - MIGUEL PEREIRA/RJ</t>
  </si>
  <si>
    <t>170026/002348/2021</t>
  </si>
  <si>
    <t>CONSTRUÇÃO DO PARQUE PARA CÃES - BAIRRO ROSEIRAL - MIGUEL PEREIRA/RJ</t>
  </si>
  <si>
    <t>170026/000255/2022</t>
  </si>
  <si>
    <t>CONSTRUÇÃO DO PARQUE PARA CÃES - MIGUEL PEREIRA/RJ</t>
  </si>
  <si>
    <t>170026/000254/2022</t>
  </si>
  <si>
    <t>CONSTRUÇÃO DE CAMPO DE GRAMA SINTÉTICA EM MANGUEIRAS – MIGUEL PEREIRA/RJ</t>
  </si>
  <si>
    <t>082/20022</t>
  </si>
  <si>
    <t>170026/002388/2021</t>
  </si>
  <si>
    <t>PROJETO E OBRA DO PARQUE NATURAL MUNICIPAL DE MESQUITA</t>
  </si>
  <si>
    <t>MESQUITA</t>
  </si>
  <si>
    <t>330018/001362/2022</t>
  </si>
  <si>
    <t>AMPLIAÇÃO E MODERNIZAÇÃO DO CIRCO CULTURAL CHATUBA, MESQUITA/RJ</t>
  </si>
  <si>
    <t>330018/002074/2022</t>
  </si>
  <si>
    <t>CONSTRUÇÃO DA CASA DO SABER EM MESQUITA/RJ</t>
  </si>
  <si>
    <t>330018/002075/2022</t>
  </si>
  <si>
    <t>INFRAESTRUTURA E MODERNIZAÇÃO DA PRAÇA DE COSMORAMA E ESCOLA DE CONTRATURNO EM MESQUITA/RJ</t>
  </si>
  <si>
    <t>330018/002073/2022</t>
  </si>
  <si>
    <t>CONTENÇÃO NA ESTRADA ALTO CASEMIRO (RUA FELÍCIO DOS SANTOS) – VILA MARIANA, MENDES-RJ.</t>
  </si>
  <si>
    <t>330001/000111/2025</t>
  </si>
  <si>
    <t>CONTENÇÃO AO LONGO DA RUA DONA LUISA – HUMBERTO ANTUNES, MENDES-RJ.</t>
  </si>
  <si>
    <t>330001/000115/2025</t>
  </si>
  <si>
    <t>CONTENÇÃO NA RUA SANTO ANTÔNIO – HUMBERTO ANTUNES, MENDES-RJ.</t>
  </si>
  <si>
    <t>330001/000123/2025</t>
  </si>
  <si>
    <t>OBRA DE CONTENÇÃO NA ESTRADA ENGENHEIRO PEDREIRA, HUMBERTO ANTUNES – MENDES-RJ.</t>
  </si>
  <si>
    <t>330001/000127/2025</t>
  </si>
  <si>
    <t>CONTENÇÃO NA TRAVESSA SANTA ROSA – GROTÃO, SANTA ROSA, CENTRO – MENDES-RJ.</t>
  </si>
  <si>
    <t>330001/000121/2025</t>
  </si>
  <si>
    <t>CONTENÇÃO NA RUA MARIA JOSÉ PAIVA – VILA WESTEY, CENTRO, MENDES-RJ.</t>
  </si>
  <si>
    <t>330001/000122/2025</t>
  </si>
  <si>
    <t>CONTENÇÃO NA RUA HEROTHILDES V. DE CARVALHO – VILA WESTEY, CENTRO, MENDES-RJ.</t>
  </si>
  <si>
    <t>330001/000114/2025</t>
  </si>
  <si>
    <t>CONTENÇÃO NA CAPITÃO FRANCISCO CABRAL – CENTRO, MENDES-RJ.</t>
  </si>
  <si>
    <t>330001/000109/2025</t>
  </si>
  <si>
    <t>REFORMA DA QUADRA SABINO CATETE - MENDES/RJ</t>
  </si>
  <si>
    <t>170026/000176/2022</t>
  </si>
  <si>
    <t>CMHR EMPREENDIMENTOS LTDA</t>
  </si>
  <si>
    <t>PROJETO, DRENAGEM E INFRAESTRUTURA - MENDES/RJ</t>
  </si>
  <si>
    <t>005/2023</t>
  </si>
  <si>
    <t>CONTENÇÃO NA RUA VEREADOR JOSÉ ALVES – TUPINAMBÁ, MENDES-RJ.</t>
  </si>
  <si>
    <t>330001/000125/2025</t>
  </si>
  <si>
    <t>CONTENÇÃO NA UNIDADE DE SAÚDE CARMINE COLUCCI – MORSING, MENDES-RJ.</t>
  </si>
  <si>
    <t>330001/000120/2025</t>
  </si>
  <si>
    <t>REFORMA DO GINÁSIO NICOLA SANDORA – MENDES/RJ</t>
  </si>
  <si>
    <t>170026/002299/2021</t>
  </si>
  <si>
    <t>REQUALIFICAÇÃO DA QUADRA DA PRAÇA D. PEDRO II - MENDES/RJ</t>
  </si>
  <si>
    <t>170026/000175/2022</t>
  </si>
  <si>
    <t>CONSÓRCIO MENDES KLABIN (MARENGE X DRV ENGENHARIA)</t>
  </si>
  <si>
    <t>CONTENÇÃO COM SOLO GRAMPEADO PRÓXIMO À KLABIN – MENDES/RJ (#FUNDO SOBERANO)</t>
  </si>
  <si>
    <t>025/2024</t>
  </si>
  <si>
    <t>CONTENÇÃO DE ENCOSTA - VILA WESLEY/CENTRO - MENDES/RJ</t>
  </si>
  <si>
    <t>330001/001389/2024</t>
  </si>
  <si>
    <t>CONTENÇÃO DE ENCOSTA - UNIDADE DE SAÚDE CARMINE COLUCCI - MENDES/RJ</t>
  </si>
  <si>
    <t>330001/001385/2024</t>
  </si>
  <si>
    <t>CONTENÇÃO DE ENCOSTA - TRAVESSA SANTA ROSA - MENDES/RJ</t>
  </si>
  <si>
    <t>330001/001384/2024</t>
  </si>
  <si>
    <t>CONTENÇÃO DE ENCOSTA - RUA VEREADOR JOSÉ ALVES, TUPINAMBÁ - MENDES/RJ</t>
  </si>
  <si>
    <t>330001/001383/2024</t>
  </si>
  <si>
    <t>CONTENÇÃO DE ENCOSTA - RUA SANTO ANTÔNIO, HUMBERTO ANTUNES - MENDES/RJ</t>
  </si>
  <si>
    <t>330001/001382/2024</t>
  </si>
  <si>
    <t>CONTENÇÃO DE ENCOSTA - RUA SANTA ROSA - MENDES/RJ</t>
  </si>
  <si>
    <t>330001/001381/2024</t>
  </si>
  <si>
    <t>CONTENÇÃO DE ENCOSTA - RUA DONA LUIZA, HUMBERTO ANTUNES - MENDES/RJ</t>
  </si>
  <si>
    <t>330001/001377/2024</t>
  </si>
  <si>
    <t>CONTENÇÃO DE ENCOSTA - RUA 5, ESCOLA HILDA BRAGA - MENDES/RJ</t>
  </si>
  <si>
    <t>330001/001373/2024</t>
  </si>
  <si>
    <t>CONTENÇÃO DE ENCOSTAS - ESTRADA ENGENHEIRO PEDREIRA - MENDES/RJ</t>
  </si>
  <si>
    <t>330001/001363/2024</t>
  </si>
  <si>
    <t>CONTENÇÃO DE ENCOSTA - RUA CAP. FRANCISCO CABRAL - MENDES/RJ</t>
  </si>
  <si>
    <t>330001/001349/2024</t>
  </si>
  <si>
    <t>REVITALIZAÇÃO DA PRAÇA DOUTOR JOÃO NERY - MENDES/RJ</t>
  </si>
  <si>
    <t>170026/003539/2022</t>
  </si>
  <si>
    <t>EXECUÇÃO DE OBRAS - MENDES/RJ</t>
  </si>
  <si>
    <t>170026/000660/2021</t>
  </si>
  <si>
    <t>REFORMA DA QUADRA POLIESPORTIVA - MORSING, MENDES/RJ</t>
  </si>
  <si>
    <t>170026/000178/2022</t>
  </si>
  <si>
    <t>EXECUÇÃO DE ESTABILIZAÇÃO DE TALUDE, LOCALIZADA NA RUA CASSIANO DE SOUZA, N° 135 – BAIRRO CONCEIÇÃO DE JACAREÍ, MANGARATIBA – RJ</t>
  </si>
  <si>
    <t>330001/001544/2025</t>
  </si>
  <si>
    <t>ESTABILIZAÇÃO DE TALUDE - RUA CASSIANO DE SOUZA, CONCEIÇÃO DE JACAREÍ - MANGARATIBA/RJ</t>
  </si>
  <si>
    <t>330001/000909/2025</t>
  </si>
  <si>
    <t>PROJETO EXECUTIVO E ESTABILIZAÇÃO DE TALUDE EM MANGARATIBA/RJ</t>
  </si>
  <si>
    <t>087/2022</t>
  </si>
  <si>
    <t>170026/001231/2022</t>
  </si>
  <si>
    <t>330001/000477/2024</t>
  </si>
  <si>
    <t>CANALIZAÇÃO DO CANAL DO LEITÃO - MANGARATIBA/RJ</t>
  </si>
  <si>
    <t>DRENAGEM E PAVIMENTAÇÃO - ITACURUÇÁ, MANGARATIBA/RJ</t>
  </si>
  <si>
    <t>005/2025</t>
  </si>
  <si>
    <t>DRV ENGENHARIA - EIRELI</t>
  </si>
  <si>
    <t>ESTABILIZAÇÃO DE TALUDE - VILA MURIQUI, MANGARATIBA/RJ</t>
  </si>
  <si>
    <t>062/2022</t>
  </si>
  <si>
    <t>RIVALL ENGENHARIA LTDA</t>
  </si>
  <si>
    <t>ESTABILIZAÇÃO DE TALUDES - RUA LITORÂNEA, MANGARATIBA/RJ</t>
  </si>
  <si>
    <t>063/2020</t>
  </si>
  <si>
    <t>170026/001230/2022</t>
  </si>
  <si>
    <t>GONÇALVES E NEVES CONSTRUÇÃO CIVIL LTDA</t>
  </si>
  <si>
    <t>REVITALIZAÇÃO DA CICLOVIA E CALÇADA DA ORLA DA PRAIA DO SACO - MANGARATIBA/RJ</t>
  </si>
  <si>
    <t>028/2021</t>
  </si>
  <si>
    <t>ESTABILIZAÇÃO DE TALUDE - RJ 014, MANGARATIBA/RJ</t>
  </si>
  <si>
    <t>080/2022</t>
  </si>
  <si>
    <t>170026/001229/2022</t>
  </si>
  <si>
    <t>EXECUÇÃO DE PROJETOS E OBRAS DE REQUALIFICAÇÃO NO COMPLEXO FERROVIÁRIO DE GUIA DE PACOBAÍBA, MAGÉ/RJ</t>
  </si>
  <si>
    <t>330018/000175/2022</t>
  </si>
  <si>
    <t>EXECUÇÃO DE OBRA DE RECAPEAMENTO DE LOGRADOUROS, MAGÉ/RJ</t>
  </si>
  <si>
    <t>330001/000528/2025</t>
  </si>
  <si>
    <t>GRAVISA ENHENHARIA E EMPREENDIMENTOS LTDA</t>
  </si>
  <si>
    <t>RECAPEAMENTO DE LOGRADOUROS EM MAGÉ – RJ</t>
  </si>
  <si>
    <t>023/2023</t>
  </si>
  <si>
    <t>EXECUÇÃO DE PROJETOS EXECUTIVOS E OBRAS NO MEMORIAL MANÉ GARRINCHA, MAGÉ/RJ</t>
  </si>
  <si>
    <t>460001/001134/2023</t>
  </si>
  <si>
    <t>CONTENÇÃO - RUA BENEDITO CASTRO CANDINHO, ARAPONGAS-MACUCO/RJ</t>
  </si>
  <si>
    <t>MACUCO</t>
  </si>
  <si>
    <t>330001/000231/2025</t>
  </si>
  <si>
    <t>EXECUÇÃO DE OBRAS DE CONTENÇÃO, DRENAGEM E ESTABILIZAÇÃO NO BAIRRO BARREIRA, MACUCO/RJ</t>
  </si>
  <si>
    <t>330018/001430/2022</t>
  </si>
  <si>
    <t>EXECUÇÃO DE OBRAS DE CONTENÇÃO, DRENAGEM E ESTABILIZAÇÃO NO BAIRRO SANTOS REIS, MACUCO/RJ</t>
  </si>
  <si>
    <t>330018/001429/2022</t>
  </si>
  <si>
    <t>CONTENÇÃO NA RUA SERAFIM DE BARROS, BAIRRO SANTO REIS</t>
  </si>
  <si>
    <t>330001/001562/2025</t>
  </si>
  <si>
    <t>ELABORAÇÃO DE PROJETO E CONSTRUÇÃO DE PONTE EM MACAÉ/RJ</t>
  </si>
  <si>
    <t>170026/002219/2021</t>
  </si>
  <si>
    <t>GERENCIAMENTO E APOIO TÉCNICO PARA OBRAS EM MACAÉ/RJ</t>
  </si>
  <si>
    <t>170026/002462/2022</t>
  </si>
  <si>
    <t>KROFMAN COMERCIO SERVIÇO EIRELI ME</t>
  </si>
  <si>
    <t>REVITALIZAÇÃO DA AV. RUI BARBOSA - MACAÉ/RJ</t>
  </si>
  <si>
    <t>REFORMA QUADRA POLIESPORTIVA COMUNIDADE CÓRREGO – LAJE DO MURIAÉ/RJ</t>
  </si>
  <si>
    <t>LAJE DO MURIAÉ</t>
  </si>
  <si>
    <t>170026/003225/2021</t>
  </si>
  <si>
    <t>CONSTRUTORA LYTORÂNEA S.A</t>
  </si>
  <si>
    <t>REVESTIMENTO ASFÁLTICO NAS ESTRADAS DE LAGE DO MURIAÉ/RJ</t>
  </si>
  <si>
    <t>330018/000355/2022</t>
  </si>
  <si>
    <t>CONSÓRCIO SÃO JOSÉ HM ( HYDRA ENGENHARIA E SANEAMENTO LTDA E CONSTRUTORA MEDEIROS CARVALHO DE ALMEIDA LTDA)</t>
  </si>
  <si>
    <t>PROJETO EXECUTIVO E EXECUÇÃO DE OBRAS DE DRENAGEM, PAVIMENTAÇÃO E INFRAESTRUTURA – SÃO JOSÉ – JAPERI/RJ</t>
  </si>
  <si>
    <t>DRENAGEM, PAVIMENTAÇÃO E SINALIZAÇÃO EM LAGOA DO SAPO – JAPERI/RJ</t>
  </si>
  <si>
    <t>460001/001722/2023</t>
  </si>
  <si>
    <t>CONTRATAÇÃO DE EMPRESA PARA DEMOLIÇÃO E CONSTRUÇÃO DA PONTE LOCALIZADA SOBRE A ESTRADA DOS PINHEIROS, NO MUNICÍPIO DE SÃO JOSÉ DO VALE DO RIO PRETO-RJ</t>
  </si>
  <si>
    <t>330001/001503/2025</t>
  </si>
  <si>
    <t>IMPLANTAÇÃO CAMPO FUTEBOL E PRAÇA MUCAJÁ I – JAPERI/RJ</t>
  </si>
  <si>
    <t>170026/003122/2021</t>
  </si>
  <si>
    <t>IMPLANTAÇÃO CAMPO FUTEBOL, QUADRA E PRAÇA LAGOA DO SAPO – JAPERI/RJ</t>
  </si>
  <si>
    <t>170026/002408/2022</t>
  </si>
  <si>
    <t>CONSTRUÇÃO DE UNIDADE CORPO DE BOMBEIROS - JAPERI/RJ</t>
  </si>
  <si>
    <t>170026/002171/2021</t>
  </si>
  <si>
    <t>IMPLANTAÇÃO CAMPO BEIRA RIO – JAPERI/RJ</t>
  </si>
  <si>
    <t>170026/002410/2022</t>
  </si>
  <si>
    <t>DRENAGEM E PAVIMENTAÇÃO NO BAIRRO NOVA BELEM – JAPERI/RJ</t>
  </si>
  <si>
    <t>019/2022</t>
  </si>
  <si>
    <t>DRENAGEM E PAVIMENTAÇÃO NO JARDIM DELAMARE, JAPERI/RJ</t>
  </si>
  <si>
    <t>020/2022</t>
  </si>
  <si>
    <t>COMPLEMENTO DE OBRA DE DRENAGEM, PAVIMENTAÇÃO E SINALIZAÇÃO VIÁRIA E CONSTRUÇÃO DE PONTE DE CONCRETO DA ESTRATA SÃO JOSÉ - JAPERI</t>
  </si>
  <si>
    <t>330001/001025/2025</t>
  </si>
  <si>
    <t>DRENAGEM, PAVIMENTAÇÃO, SINALIZAÇÃO VIÁRIA, CONSTRUÇÃO DE PONTE E CONTENÇÕES PARA IMPLANTAÇÃO DA LIGAÇÃO DE JAPERI COM O ARCO METROPOLITANO</t>
  </si>
  <si>
    <t>330001/000491/2025</t>
  </si>
  <si>
    <t>DRENAGEM E PAVIMENTAÇÃO EM DIVERSAS RUAS EM SANTA AMÉLIA, JAPERI-RJ</t>
  </si>
  <si>
    <t>014/2022</t>
  </si>
  <si>
    <t>IMPLANTAÇÃO DE VIA ENTRE ITATIAIA E PENEDO/RJ</t>
  </si>
  <si>
    <t>ITATIAIA</t>
  </si>
  <si>
    <t>330018/000744/2021</t>
  </si>
  <si>
    <t>INFRAESTRUTURA E URBANIZAÇÃO CAMPO MÁRIO PEREIRA - ITATIAIA/RJ</t>
  </si>
  <si>
    <t>170026/000203/2022</t>
  </si>
  <si>
    <t>RECAPEAMENTO E PAVIMENTAÇÃO DE VIAS NOS BAIRROS CIDADE NOVA E PRESIDENTE COSTA E SILVA, ITAPERUNA/RJ</t>
  </si>
  <si>
    <t>330018/000952/2021</t>
  </si>
  <si>
    <t>CONSTRUÇÃO DE CENTRO ADMINISTRATIVO AGROPECUÁRIO EM ITAPERUNA/RJ</t>
  </si>
  <si>
    <t>170026/002084/2021</t>
  </si>
  <si>
    <t>PAVIMENTAÇÃO E DRENAGEM DE ESTRADA DO IFF – ITAPERUNA/RJ</t>
  </si>
  <si>
    <t>170026/002370/2021</t>
  </si>
  <si>
    <t>REVITALIZAÇÃO DE PRAÇA E CALÇADÃO EM RAPOSO, ITAPERUNA/RJ</t>
  </si>
  <si>
    <t>050003/000409/2022</t>
  </si>
  <si>
    <t>CONSTRUSAN SERVICOS INDUSTRIAIS LTDA</t>
  </si>
  <si>
    <t>PAVIMENTAÇÃO E RECAPEAMENTO EM NITERÓI E AEROPORTO – ITAPERUNA/RJ</t>
  </si>
  <si>
    <t>006/2023</t>
  </si>
  <si>
    <t>REFORMA E REVITALIZAÇÃO DA PRAÇA NILO PEÇANHA, ITAPERUNA/RJ</t>
  </si>
  <si>
    <t>460001/001917/2023</t>
  </si>
  <si>
    <t>CONTRATAÇÃO DE EMPRESA ESPECIALIZADA PARA EXECUÇÃO DE INTERVENÇÃO NA RODOVIA ESTADUAL RJ-210, NO TRECHO COMPREENDIDO ENTRE ITAPERUNA E VARGEM ALEGRE - EM ITAPERUNA/ RJ</t>
  </si>
  <si>
    <t>330001/001426/2025</t>
  </si>
  <si>
    <t>INFRAESTRUTURA E URBANIZAÇÃO DO CAMPO SOCIETY EM ITAOCARA/RJ</t>
  </si>
  <si>
    <t>ITAOCARA</t>
  </si>
  <si>
    <t>170026/001627/2022</t>
  </si>
  <si>
    <t>PAVIMENTAÇÃO – BAIRRO SÃO CAETANO, ITALVA/RJ</t>
  </si>
  <si>
    <t>ITALVA</t>
  </si>
  <si>
    <t>170026/002780/2021</t>
  </si>
  <si>
    <t>ELABORAÇÃO DE PROJETO EXECUTIVO E OBRAS PARA SHOPPING POPULAR E EXECUÇÃO DE OBRA DE INFRAESTRUTURA URBANA – URBANIZAÇÃO E MACRODRENAGEM DO CANAL DO VIANA ITAGUAI/RJ</t>
  </si>
  <si>
    <t>ITAGUAÍ</t>
  </si>
  <si>
    <t>330018/001138/2022</t>
  </si>
  <si>
    <t>CONSTRUÇÃO DE PIER NO BAIRRO COROA GRANDE - ITAGUAÍ/RJ</t>
  </si>
  <si>
    <t>050003/000304/2022</t>
  </si>
  <si>
    <t>CONSTRUÇÃO DA PRAÇA LEANDRO, ITAGUAÍ/RJ</t>
  </si>
  <si>
    <t>170026/000040/2022</t>
  </si>
  <si>
    <t>CONSTRUÇÃO DE PÍER NA ILHA DA MADEIRA - ITAGUAÍ/RJ</t>
  </si>
  <si>
    <t>330018/000058/2024</t>
  </si>
  <si>
    <t>PRAÇA CASTRO ALVES – PROJETO E CONSTRUÇÃO - 2020 – ITAGUAÍ/RJ</t>
  </si>
  <si>
    <t>170026/001258/2020</t>
  </si>
  <si>
    <t>PRAÇA CASTRO ALVES – PROJETO E CONSTRUÇÃO - 2022 – ITAGUAÍ/RJ</t>
  </si>
  <si>
    <t>170026/002796/2022</t>
  </si>
  <si>
    <t>CONSÓRCIO MOBILIDADE AV.22 DE MAIO</t>
  </si>
  <si>
    <t>DRENAGEM E PAVIMENTAÇÃO - AV. 22 DE MAIO, ITABORAÍ-RJ</t>
  </si>
  <si>
    <t>064/2022</t>
  </si>
  <si>
    <t>ITABORAÍ</t>
  </si>
  <si>
    <t>330018/001080/2021</t>
  </si>
  <si>
    <t>DRENAGEM E PAVIMENTAÇÃO - BAIRRO SANTO ANTÔNIO, ITABORAÍ-RJ</t>
  </si>
  <si>
    <t>010/2023</t>
  </si>
  <si>
    <t>330018/001161/2022</t>
  </si>
  <si>
    <t>CONTRATAÇÃO DE OBRAS DE DRENAGEM, PAVIMENTAÇÃO E SINALIZAÇÃO NO BAIRRO RETIRO SÃO JOAQUIM, ITABORAÍ/RJ</t>
  </si>
  <si>
    <t>038/2023</t>
  </si>
  <si>
    <t>330018/000734/2022</t>
  </si>
  <si>
    <t>DRENAGEM, PAVIMENTAÇÃO E SINALIZAÇÃO EM MARAMBAIA, ITABORAÍ/RJ</t>
  </si>
  <si>
    <t>029/2023</t>
  </si>
  <si>
    <t>330018/000948/2022</t>
  </si>
  <si>
    <t>CONTRATAÇÃO DE OBRAS DE DRENAGEM, PAVIMENTAÇÃO E SINALIZAÇÃO NO BAIRRO ESPERANÇA, ITABORAÍ/RJ</t>
  </si>
  <si>
    <t>330018/001665/2022</t>
  </si>
  <si>
    <t>NEXXUS CONSULTORIA E ENGENHARIA LTDA</t>
  </si>
  <si>
    <t>DRENAGEM E PAVIMENTAÇÃO NO BAIRRO PARQUE AURORA - ITABORAÍ/RJ</t>
  </si>
  <si>
    <t>330018/000634/2022</t>
  </si>
  <si>
    <t>SERVIÇOS DE RECUPERAÇÃO DE PAVIMENTAÇÃO E SINALIZAÇÃO HORIZONTAL EM ITABORAÍ/RJ</t>
  </si>
  <si>
    <t>330018/001351/2022</t>
  </si>
  <si>
    <t>PROJETO EXECUTIVO E EXECUÇÃO DE DRENAGEM, PAVIMENTAÇÃO E SINALIZAÇÃO NO BAIRRO GEBARA, ITABORAÍ/RJ</t>
  </si>
  <si>
    <t>330018/000633/2022</t>
  </si>
  <si>
    <t>ENGEBIO ENGENHARIA DO MEIO AMBIENTE LTDA</t>
  </si>
  <si>
    <t>DRENAGEM, PAVIMENTAÇÃO E SINALIZAÇÃO EM ALDEIA DA PRATA, ITABORAÍ/RJ</t>
  </si>
  <si>
    <t>019/2023</t>
  </si>
  <si>
    <t>330018/000739/2022</t>
  </si>
  <si>
    <t>JML CONSULTORIA FINANCEIRA E ENGENHARIA LTDA</t>
  </si>
  <si>
    <t>DRENAGEM E PAVIMENTAÇÃO - PORTO DAS CAIXAS, ITABORAÍ-RJ</t>
  </si>
  <si>
    <t>054/2022</t>
  </si>
  <si>
    <t>330018/000606/2022</t>
  </si>
  <si>
    <t>DRENAGEM E PAVIMENTAÇÃO - BAIRRO VILA VISCONDE, ITABORAÍ-RJ</t>
  </si>
  <si>
    <t>056/2022</t>
  </si>
  <si>
    <t>330018/000635/2022</t>
  </si>
  <si>
    <t>CRATER CONSTRUÇÕES LTDA.</t>
  </si>
  <si>
    <t>REFORMA DO HOSPITAL - ITABORAÍ-RJ</t>
  </si>
  <si>
    <t>003/2020</t>
  </si>
  <si>
    <t>330018/000235/2020</t>
  </si>
  <si>
    <t>DRENAGEM E PAVIMENTAÇÃO - BAIRROS CHIC E MEU SOSSEGO, ITABORAÍ-RJ</t>
  </si>
  <si>
    <t>330018/000626/2022</t>
  </si>
  <si>
    <t>PAVIMENTAÇÃO, DRENAGEM E PONTE - JARDIM IMPERIAL, ITABORAÍ-RJ</t>
  </si>
  <si>
    <t>170026/002020/2021</t>
  </si>
  <si>
    <t>EMPRESA FLUMINENSE DE SERVICOS LTDA</t>
  </si>
  <si>
    <t>PAVIMENTAÇÃO E DRENAGEM NA ESTRADA DO SAL – IGUABA GRANDE/RJ</t>
  </si>
  <si>
    <t>039/2023</t>
  </si>
  <si>
    <t>OBRAS DE INFRAESTRUTURA E PAVIMENTAÇÃO EM IGUABA GRANDE/RJ</t>
  </si>
  <si>
    <t>072/2022</t>
  </si>
  <si>
    <t>170026/001865/2021</t>
  </si>
  <si>
    <t>DRENAGEM E PAVIMENTAÇÃO – VALE DAS PEDRINHAS GUAPIMIRIM/RJ</t>
  </si>
  <si>
    <t>GUAPIMIRIM</t>
  </si>
  <si>
    <t>460001/001614/2023</t>
  </si>
  <si>
    <t>DRENAGEM - PAIOL E PARQUE FLEIXAL, GUAPIMIRIM-RJ</t>
  </si>
  <si>
    <t>460001/001249/2023</t>
  </si>
  <si>
    <t>INFRAESTRUTURA URBANA – GUAPIMIRIM/RJ</t>
  </si>
  <si>
    <t>330018/000697/2022</t>
  </si>
  <si>
    <t>CONSTRUÇÃO DE CONJUNTO HABITACIONAL EM GUAPIMIRIM/RJ</t>
  </si>
  <si>
    <t>170026/001060/2021</t>
  </si>
  <si>
    <t>TEATRO MUNICIPAL E CASA DE CULTURA - GUAPIMIRIM-RJ</t>
  </si>
  <si>
    <t>170026/000726/2022</t>
  </si>
  <si>
    <t>REVITALIZAÇÃO DO PARQUE LAGO AZUL – ENGENHEIRO PAULO DE FRONTIN/RJ</t>
  </si>
  <si>
    <t>ENGENHEIRO PAULO DE FRONTIN</t>
  </si>
  <si>
    <t>330001/001490/2024</t>
  </si>
  <si>
    <t>REFORMA DA ÁREA DE RESERVA - LAGO AZUL - ENGENHEIRO PAULO DE FRONTIN/RJ</t>
  </si>
  <si>
    <t>330018/001750/2022</t>
  </si>
  <si>
    <t>CONTENÇÃO COM SOLO GRAMPEADO NA RUA ÁLVARO GOMES DE ALMEIDA – ENGENHEIRO PAULO DE FRONTIN/RJ</t>
  </si>
  <si>
    <t>330001/001218/2024</t>
  </si>
  <si>
    <t>CONSTRUÇÃO DE PÓRTICO E ROTATÓRIA – ENGENHEIRO P. FRONTIN/RJ</t>
  </si>
  <si>
    <t>170026/002094/2021</t>
  </si>
  <si>
    <t>COLÔNIA ARQUITETURA E CONSTRUÇÃO EIRELI EPP</t>
  </si>
  <si>
    <t>REFORMA E REVITALIZAÇÃO DAS PRAÇAS JÚLIO NORA, SACRA FAMÍLIA E WAGNER MEDEIROS – ENGENHEIRO PAULO DE FRONTIN/RJ</t>
  </si>
  <si>
    <t>030/2021</t>
  </si>
  <si>
    <t>170026/001178/2021</t>
  </si>
  <si>
    <t>CANALIZAÇÃO E URBANIZAÇÃO – CANAIS EM DUQUE DE CAXIAS/RJ</t>
  </si>
  <si>
    <t>330018/001636/2022</t>
  </si>
  <si>
    <t>MACRODRENAGEM DO CANAL CALOMBÉ, DUQUE DE CAXIAS/RJ</t>
  </si>
  <si>
    <t>170026/000067/2022</t>
  </si>
  <si>
    <t>CONSTRUÇÃO DE AUTÓDROMO INTERNACIONAL – DUQUE DE CAXIAS/RJ</t>
  </si>
  <si>
    <t>330018/000621/2022</t>
  </si>
  <si>
    <t>Somando Forças</t>
  </si>
  <si>
    <t>MACRODRENAGEM DO CANAL MARILÂNDIA – DUQUE DE CAXIAS/RJ</t>
  </si>
  <si>
    <t>330018/000189/2022</t>
  </si>
  <si>
    <t>SISTEMA VIÁRIO ARCO DUQUE DE CAXIAS - RJ</t>
  </si>
  <si>
    <t>330018/000081/2022</t>
  </si>
  <si>
    <t>IMPLANTAÇÃO DE SISTEMA VIÁRIO EM DUQUE DE CAXIAS</t>
  </si>
  <si>
    <t>330018/001038/2021</t>
  </si>
  <si>
    <t>OBRAS DE CANALIZAÇÃO DOS CANAIS MICHELE CARRARA E REAL ESTRELA – DUQUE DE CAXIAS</t>
  </si>
  <si>
    <t>330018/001007/2022</t>
  </si>
  <si>
    <t>CONSTRUÇÃO DO VIADUTO DO CODIN - DUQUE DE CAXIAS/RJ</t>
  </si>
  <si>
    <t>330001/001256/2024</t>
  </si>
  <si>
    <t>MACRODRENAGEM DO CANAL JARDIM PRIMAVERA – DUQUE DE CAXIAS/RJ</t>
  </si>
  <si>
    <t>330018/001949/2022</t>
  </si>
  <si>
    <t>PAVIMENTAÇÃO, URBANIZAÇÃO E CANALIZAÇÃO NO JARDIM IMBARIÊ - CAXIAS/RJ</t>
  </si>
  <si>
    <t>330018/000824/2022</t>
  </si>
  <si>
    <t>CONSTRUTORA R2X LTDA</t>
  </si>
  <si>
    <t>CONSTRUÇÃO DE CONJUNTO HABITACIONAL EM VILA NOVA, DUQUE DE CAXIAS/RJ</t>
  </si>
  <si>
    <t>040/2022</t>
  </si>
  <si>
    <t>170026/002565/2021</t>
  </si>
  <si>
    <t>INTERLIGAÇÃO DUQUE DE CAXIAS-MAGÉ E PONTE METÁLICA – CAXIAS/RJ</t>
  </si>
  <si>
    <t>033/2022</t>
  </si>
  <si>
    <t>MACRODRENAGEM DO CANAL GASPAR VENTURA - DUQUE DE CAXIAS/RJ</t>
  </si>
  <si>
    <t>460001/000418/2023</t>
  </si>
  <si>
    <t>CANALIZAÇÃO DO CANAL DAS VELHAS - DUQUE DE CAXIAS/RJ</t>
  </si>
  <si>
    <t>460001/000417/2023</t>
  </si>
  <si>
    <t>MACRODRENAGEM DO SÃO BENTO - DUQUE DE CAXIAS - RJ</t>
  </si>
  <si>
    <t>052/2022</t>
  </si>
  <si>
    <t>ALBERTO COUTO ALVES - BRASIL LTDA.</t>
  </si>
  <si>
    <t>REVESTIMENTO ASFÁLTICO E DRENAGEM NO 2O DISTRITO DE DUQUE DE CAXIAS - LOTE 1</t>
  </si>
  <si>
    <t>004/2021</t>
  </si>
  <si>
    <t>330018/000423/2021</t>
  </si>
  <si>
    <t>VIADUTO BR-116 – PROJETO EXECUTIVO E EXECUÇÃO - CAXIAS/RJ</t>
  </si>
  <si>
    <t>330001/001577/2025</t>
  </si>
  <si>
    <t>REVESTIMENTO ASFÁLTICO E DRENAGEM NO 2O DISTRITO DE CAXIAS - LOTE 2</t>
  </si>
  <si>
    <t>006/2021</t>
  </si>
  <si>
    <t>330018/000424/2021</t>
  </si>
  <si>
    <t>DUPLICAÇÃO DA RJ-085 E DUAS PONTES METÁLICAS – CAXIAS/RJ</t>
  </si>
  <si>
    <t>031/2022</t>
  </si>
  <si>
    <t>RECUPERAÇÃO DOS CORPOS HÍDRICOS DO CANAL CABOCLOS – DUQUE DE CAXIAS/RJ</t>
  </si>
  <si>
    <t>MURO DE CONCRETO ARMADO – DUQUE DE CAXIAS/RJ</t>
  </si>
  <si>
    <t>330018/000937/2022</t>
  </si>
  <si>
    <t>Cone Engenharia e Construcao Civil LTDA</t>
  </si>
  <si>
    <t>IMPLANTAÇÃO DO VIADUTO DO CODIN - CAXIAS/RJ</t>
  </si>
  <si>
    <t>032/2022</t>
  </si>
  <si>
    <t>MACRODRENAGEM DO CANAL GASPAR VENTURA – DUQUE DE CAXIAS/RJ</t>
  </si>
  <si>
    <t>330018/001077/2021</t>
  </si>
  <si>
    <t>MACRODRENAGEM DO CANAL DAS VELHAS - DUQUE DE CAXIAS - RJ</t>
  </si>
  <si>
    <t>330018/001071/2021</t>
  </si>
  <si>
    <t>PAVIMENTAÇÃO E CANALIZAÇÃO DO CANAL RUI BARBOSA – DUQUE DE CAXIAS/RJ</t>
  </si>
  <si>
    <t>030/2023</t>
  </si>
  <si>
    <t>IMPLANTAÇÃO DA PONTE DO PILAR, DRENAGEM, CICLOVIA E ILUMINAÇÃO - CAXIAS/RJ</t>
  </si>
  <si>
    <t>330018/000426/2021</t>
  </si>
  <si>
    <t>IMPLANTAÇÃO DA PONTE DO PILAR E INFRAESTRUTURA – DUQUE DE CAXIAS/RJ</t>
  </si>
  <si>
    <t>007/2024</t>
  </si>
  <si>
    <t>REVESTIMENTO ASFÁLTICO E DRENAGEM NO 2° DISTRITO (Lote 1) – DUQUE DE CAXIAS/RJ (#FUNDO SOBERANO)</t>
  </si>
  <si>
    <t>008/2024</t>
  </si>
  <si>
    <t>RECUPERAÇÃO DE PAVIMENTAÇÃO E SINALIZAÇÃO EM DUQUE DE CAXIAS</t>
  </si>
  <si>
    <t>003/2023</t>
  </si>
  <si>
    <t>REVESTIMENTO ASFÁLTICO E DRENAGEM NO 2° DISTRITO (Lote 2) – DUQUE DE CAXIAS/RJ (#FUNDO SOBERANO)</t>
  </si>
  <si>
    <t>009/2024</t>
  </si>
  <si>
    <t>MACRODRENAGEM DO CANAL VASQUINHO – DUQUE DE CAXIAS/RJ</t>
  </si>
  <si>
    <t>CONSTRUTORA BRASFORM LTDA</t>
  </si>
  <si>
    <t>MACRODRENAGEM DO CANAL VILA CANAAN - DUQUE DE CAXIAS</t>
  </si>
  <si>
    <t>VIADUTO DA BR 116- DUQUE DE CAXIAS</t>
  </si>
  <si>
    <t>330001/001733/2024</t>
  </si>
  <si>
    <t>FORNECIMENTO DE GALERIAS PARA CANAL REAL ESTRELA - DUQUE DE CAXIAS</t>
  </si>
  <si>
    <t>330001/000725/2024</t>
  </si>
  <si>
    <t>CONTENÇÃO DE ENCOSTAS – DUAS BARRAS/RJ</t>
  </si>
  <si>
    <t>DUAS BARRAS</t>
  </si>
  <si>
    <t>170026/002258/2021</t>
  </si>
  <si>
    <t>ENGENHARIA, URBANISMO E GEOTECNIA – RUA MILTON MONNERAT ALVES - DUAS BARRAS/RJ</t>
  </si>
  <si>
    <t>330001/001068/2024</t>
  </si>
  <si>
    <t>PONTE, DRENAGEM E PAVIMENTAÇÃO - RODOLFO GONÇALVES, CORDEIRO-RJ</t>
  </si>
  <si>
    <t>CORDEIRO</t>
  </si>
  <si>
    <t>330018/000844/2022</t>
  </si>
  <si>
    <t>PAVIMENTAÇÃO, DRENAGEM E CONTENÇÃO EM ALTO DO RETIRO, CORDEIRO-RJ</t>
  </si>
  <si>
    <t>330018/001101/2022</t>
  </si>
  <si>
    <t>CONTENÇÃO DE ENCOSTA E DRENAGEM NA RUA MANOEL COELHO, CORDEIRO</t>
  </si>
  <si>
    <t>330001/001196/2025</t>
  </si>
  <si>
    <t>DRENAGEM, ESGOTO E PAVIMENTAÇÃO - SANTA TEREZA, CORDEIRO-RJ</t>
  </si>
  <si>
    <t>330018/000849/2022</t>
  </si>
  <si>
    <t>MODERNIZAÇÃO E MURO DE CONTENÇÃO DA QUADRA POLIESPORTIVA JAMINE MAZZO ALMADA, CORDEIRO/RJ</t>
  </si>
  <si>
    <t>170026/002935/2021</t>
  </si>
  <si>
    <t>RECONSTRUÇÃO DE 05 PONTES - VILA NOVA E CENTRO EM CONCEIÇÃO DE MACABU</t>
  </si>
  <si>
    <t>330018/001816/2022</t>
  </si>
  <si>
    <t>PONTE - RUA ITAMAR GOMES, PORTO, CONCEIÇÃO DE MACABU-RJ</t>
  </si>
  <si>
    <t>330001/000233/2025</t>
  </si>
  <si>
    <t>PROJETOS EXECUTIVOS E REFORMA DAS ÁREAS ESPORTIVAS EM CONCEIÇÃO DE MACABU</t>
  </si>
  <si>
    <t>088/2022</t>
  </si>
  <si>
    <t>REFORMA E PAVIMENTAÇÃO NO PARQUE DE EXPOSIÇÕES EM CONCEIÇÃO DE MACABU</t>
  </si>
  <si>
    <t>460001/000744/2023</t>
  </si>
  <si>
    <t>REFORMA E AMPLIAÇÃO DA ESCOLA DE MÚSICA VILLA-LOBOS EM CONCEIÇÃO DE MACABU</t>
  </si>
  <si>
    <t>460001/000125/2023</t>
  </si>
  <si>
    <t>SISTEMA DE ESGOTO SANITÁRIO – COMENDADOR LEVY GASPARIAN/RJ</t>
  </si>
  <si>
    <t>COMENDADOR LEVY GASPARIAN</t>
  </si>
  <si>
    <t>330018/000096/2022</t>
  </si>
  <si>
    <t>PARQUE OLÍMPICO - COMENDADOR LEVY GASPARIAN-RJ</t>
  </si>
  <si>
    <t>170026/002714/2021</t>
  </si>
  <si>
    <t>CONSTRUÇÃO DE DECK – MONTE SERRAT – COMENDADOR LEVY GASPARIAN/RJ</t>
  </si>
  <si>
    <t>330018/000620/2022</t>
  </si>
  <si>
    <t>CONSTRUÇÃO DO CENTRO DO MOVIMENTO, COMENDADOR LEVY GASPARIAN/RJ</t>
  </si>
  <si>
    <t>170026/002449/2022</t>
  </si>
  <si>
    <t>DRENAGEM, PAVIMENTAÇÃO E PROJETO EXECUTIVO - LEVY GASPARIAN/RJ</t>
  </si>
  <si>
    <t>330001/002294/2024</t>
  </si>
  <si>
    <t>OBRAS DE DE AMPLIAÇÃO DE CICLOVIA, CONSTRUÇÃO DE ROTATÓRIA E RECAPEAMENTO NAS MARGENS DA RJ 131 EM COMENDADOR LEVY GASPARIAN – RJ</t>
  </si>
  <si>
    <t>330001/000096/2026</t>
  </si>
  <si>
    <t>GALERIAS DE ÁGUAS PLUVIAIS E ESGOTO NOS BAIRROS RETA E BENTO ARGON – COMENDADOR LEVY GASPARIAN/RJ</t>
  </si>
  <si>
    <t>CONSTRUTORA MACADAME LTDA</t>
  </si>
  <si>
    <t>DRENAGEM E PAVIMENTAÇÃO - LEVY GASPARIAN/RJ</t>
  </si>
  <si>
    <t>MICRODRENAGEM E PAVIMENTAÇÃO EM BARRA DE SÃO JOÃO, CASIMIRO DE ABREU/RJ</t>
  </si>
  <si>
    <t>170026/003605/2021</t>
  </si>
  <si>
    <t>DRENAGEM E PAVIMENTAÇÃO – PRAIA SANTA IRENE, CASIMIRO DE ABREU/RJ</t>
  </si>
  <si>
    <t>170026/001950/2021</t>
  </si>
  <si>
    <t>ELABORAÇÃO DE PROJETO EXECUTIVO PARA CONSTRUÇÃO DE PONTE COM ESTRUTURA MISTA  NO BAIRRO RECANTO DOS PARATIS, NO MUNICÍPIO DE CASIMIRO DE ABREU - RJ.</t>
  </si>
  <si>
    <t>330001/001578/2025</t>
  </si>
  <si>
    <t>RECUPERAÇÃO E PAVIMENTAÇÃO NA ESTRADA VELHA RIO DOURADO – CASIMIRO DE ABREU/RJ</t>
  </si>
  <si>
    <t>017/2022</t>
  </si>
  <si>
    <t>EXECUÇÃO DE OBRAS DE INFRAESTRUTURA EM MONTEBELLO E VALE DA ESPERANÇA - CASIMIRO DE ABREU - RJ</t>
  </si>
  <si>
    <t>330001/001570/2025</t>
  </si>
  <si>
    <t>CONSTRUTORA AVENIDA LTDA</t>
  </si>
  <si>
    <t>OBRAS DE ESGOTO, DRENAGEM E PAVIMENTAÇÃO EM SÃO SEBASTIÃO – CASIMIRO DE ABREU/RJ</t>
  </si>
  <si>
    <t>170026/002128/2021</t>
  </si>
  <si>
    <t>DRENAGEM E CONTENÇÃO DE TALUDE – CARMO/RJ</t>
  </si>
  <si>
    <t>CARMO</t>
  </si>
  <si>
    <t>170026/002389/2021</t>
  </si>
  <si>
    <t>VISION RIO PROJETOS E EXECUÇÕES LTDA</t>
  </si>
  <si>
    <t>PROTEÇÃO DE TALUDES EM CARMO E LAJE DO MURIAÉ (RJ)</t>
  </si>
  <si>
    <t>075/2022</t>
  </si>
  <si>
    <t>170026/003834/2021</t>
  </si>
  <si>
    <t>TOTAL CONSTRUCOES E REFORMAS LTDA</t>
  </si>
  <si>
    <t>CONSTRUÇÃO DO COMPLEXO URBANÍSTICO EM CARDOSO MOREIRA</t>
  </si>
  <si>
    <t>330018/001042/2021</t>
  </si>
  <si>
    <t>CONSTRUÇÃO DA PRAÇA LINEAR NO BAIRRO PRAÇA TIRADENTES EM CARDOSO MOREIRA-RJ</t>
  </si>
  <si>
    <t>330001/001554/2025</t>
  </si>
  <si>
    <t>PREST RIO CONSTRUÇÕES E SERVIÇOS LTDA</t>
  </si>
  <si>
    <t>CONSTRUÇÃO DO COMPLEXO URBANÍSTICO CARDOSO MOREIRA – RJ</t>
  </si>
  <si>
    <t>015/2024</t>
  </si>
  <si>
    <t>R. C. VIEIRA ENGENHARIA LTDA</t>
  </si>
  <si>
    <t>ADAPTAÇÃO DE PONTE FERROVIÁRIA PARA PISTA E CICLOVIA - CARDOSO MOREIRA/RJ</t>
  </si>
  <si>
    <t>URBANIZAÇÃO COM DRENAGEM, ESGOTAMENTO SANITÁRIO E PAVIMENTAÇÃO NO BAIRRO BARREIROS, CARAPEBUS/RJ</t>
  </si>
  <si>
    <t>CARAPEBUS</t>
  </si>
  <si>
    <t>170026/002090/2022</t>
  </si>
  <si>
    <t>COFRANZA CONSTRUTORA LTDA</t>
  </si>
  <si>
    <t>REVITALIZAÇÃO DA AV. GETÚLIO VARGAS - CARAPEBUS/RJ</t>
  </si>
  <si>
    <t>018/2023</t>
  </si>
  <si>
    <t>330018/000906/2022</t>
  </si>
  <si>
    <t>CONTRATAÇÃO DE EMPRESA ESPECIALIZADA PARA EXECUÇÃO DE OBRAS DE CONTENÇÃO DE ENCOSTA, DRENAGEM SUPERFICIAL E PAVIMENTAÇÃO, COM ELABORAÇÃO DE PROJETO EXECUTIVO, LOCALIZADO NA TRAVESSA MANOEL FELIPE, FUNDOS DA GARAGEM 8ª ROC/DER/RJ, NO MUNICÍPIO DE CANTAGALO – RJ</t>
  </si>
  <si>
    <t>CANTAGALO</t>
  </si>
  <si>
    <t>330001/001422/2025</t>
  </si>
  <si>
    <t>RECONSTRUÇÃO DE MURO - 8ª ROC, CANTAGALO-RJ</t>
  </si>
  <si>
    <t>330024/000069/2022</t>
  </si>
  <si>
    <t>RECONSTRUÇÃO DE PONTE OU GALERIA TÉCNICA- CANTAGALO</t>
  </si>
  <si>
    <t>330001/002046/2025</t>
  </si>
  <si>
    <t>PAVIMENTAÇÃO ASFÁLTICA EM DIVERSAS RUAS DO MUNICIPIO DE CANTAGALO</t>
  </si>
  <si>
    <t>330001/000927/2025</t>
  </si>
  <si>
    <t>330001/000926/2025</t>
  </si>
  <si>
    <t>RECAPEAMENTO DE ESTRADAS NA REGIÃO NORTE E NOROESTE EM CAMPOS</t>
  </si>
  <si>
    <t>330018/000589/2022</t>
  </si>
  <si>
    <t>RECAPEAMENTO DE ESTRADAS NA REGIÃO SUDESTE EM CAMPOS</t>
  </si>
  <si>
    <t>330018/000904/2022</t>
  </si>
  <si>
    <t>PAVIMENTAÇÃO, URBANIZAÇÃO E DRENAGEM NO NOVO JOCKEY I EM CAMPOS</t>
  </si>
  <si>
    <t>330018/001660/2022</t>
  </si>
  <si>
    <t>PAVIMENTAÇÃO, URBANIZAÇÃO E DRENAGEM – CAMPOS DOS GOYTACAZES/RJ</t>
  </si>
  <si>
    <t>330018/000736/2021</t>
  </si>
  <si>
    <t>RECAPEAMENTO E SINALIZAÇÃO VIÁRIA EM GUARUS (LESTE - BR 101) EM CAMPOS</t>
  </si>
  <si>
    <t>170026/003573/2022</t>
  </si>
  <si>
    <t>SUBSTITUIÇÃO DE PONTES - ESTRADAS DO PRODUTOR - CAMPOS</t>
  </si>
  <si>
    <t>330018/000608/2021</t>
  </si>
  <si>
    <t>RECAPEAMENTO E SINALIZAÇÃO VIÁRIA EM GUARUS (OESTE - BR101) EM CAMPOS</t>
  </si>
  <si>
    <t>170026/003569/2022</t>
  </si>
  <si>
    <t>CONSÓRCIO PARQUE NOVO MUNDO (COFRANZA CONSTRUTORA LTDA, CONSTRUSAN SERVIÇOS INDUSTRIAIS LTDA E VISÃO EMPREENDIMENTOS LTDA)</t>
  </si>
  <si>
    <t>REVESTIMENTO ASFÁLTICO E DRENAGEM NOS BAIRROS DE CAMPOS</t>
  </si>
  <si>
    <t>060/2022</t>
  </si>
  <si>
    <t>OBRA DE CONSTRUÇÃO DO “DIQUE DA BOIANGA” SITUADO NA LOCALIDADE DE TRÊS VENDAS, VALÃO DA ONÇA EM CAMPOS DOS GOYTACAZES – RJ</t>
  </si>
  <si>
    <t>330018/000760/2021</t>
  </si>
  <si>
    <t>PAVIMENTAÇÃO E DRENAGEM NO BAIRRO TAPERA – CAMPOS DOS GOYTACAZES/RJ</t>
  </si>
  <si>
    <t>330018/000962/2021</t>
  </si>
  <si>
    <t>PAVIMENTAÇÃO E URBANIZAÇÃO NO PARQUE FAZENDA GOIABAL</t>
  </si>
  <si>
    <t>330018/001702/2022</t>
  </si>
  <si>
    <t>PROJETOS EXECUTIVOS E RECAPEAMENTO VIÁRIO EM CAMPOS</t>
  </si>
  <si>
    <t>IMBEG - IMBE ENGENHARIA LTDA</t>
  </si>
  <si>
    <t>PAVIMENTAÇÃO, URBANIZAÇÃO E DRENAGEM NOS BAIRROS DE CAMPOS</t>
  </si>
  <si>
    <t>REVESTIMENTO ASFÁLTICO E DRENAGEM EM PORTO BELO –EM CAMPOS/RJ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</si>
  <si>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IV (SERRANA e CENTRO NORTE)</t>
  </si>
  <si>
    <t>ATA DE REGISTRO</t>
  </si>
  <si>
    <t>025/2025</t>
  </si>
  <si>
    <t>RECOMPOSIÇÃO DO DIQUE E MARGEM DO RIO PARAÍBA DO SUL - CAMPOS DOS GOYTACAZES/RJ</t>
  </si>
  <si>
    <t>020/2023</t>
  </si>
  <si>
    <t>MECANORTE CONSTRUCOES E EMPREENDIMENTOS LTDA</t>
  </si>
  <si>
    <t>PAVIMENTAÇÃO, ÁGUA, ESGOTO E DRENAGEM EM FAROL DE SÃO THOMÉ - CAMPOS</t>
  </si>
  <si>
    <t>023/2022</t>
  </si>
  <si>
    <t>CONSORCIO PARQUE SARAIVA ( COFRANZA CONSTRUTORA LTDA, CONSTRUSAN SERVIÇOS INDUSTRIAIS LTDA, CONSTRUTORA AVENIDA LTDA, IMBEG- IMBE ENGENHARIA LTDA)</t>
  </si>
  <si>
    <t>PAVIMENTAÇÃO, URBANIZAÇÃO E DRENAGEM EM PARQUE SARAIVA - CAMPOS</t>
  </si>
  <si>
    <t>011/2022</t>
  </si>
  <si>
    <t>PAVIMENTAÇÃO E DRENAGEM EM PORTO BELO, VILA MENEZES E VILA MANHÃES, COM ELABORAÇÃO DO PROJETO EXECUTIVO- CAMPOS DOS GOYTACAZES</t>
  </si>
  <si>
    <t>330001/001072/2025</t>
  </si>
  <si>
    <t>330001/000492/2025</t>
  </si>
  <si>
    <t>DRENAGEM, PAVIMENTAÇÃO E ESTRUTURAÇÃO DE LOGRADOUROS - CAMBUCI/RJ</t>
  </si>
  <si>
    <t>CAMBUCI</t>
  </si>
  <si>
    <t>330018/001003/2022</t>
  </si>
  <si>
    <t>CALÇAMENTO COM BLOCO INTERTRAVADO EM 10 RUAS - CAMBUCI/RJ</t>
  </si>
  <si>
    <t>170026/001485/2022</t>
  </si>
  <si>
    <t>REFORMA E DUPLICAÇÃO DE PONTE – CACHOEIRA DE MACACU</t>
  </si>
  <si>
    <t>CACHOEIRAS DE MACACU</t>
  </si>
  <si>
    <t>330018/000613/2022</t>
  </si>
  <si>
    <t>OBRAS DE CONTENÇÃO E DRENAGEM – CACHOEIRAS DE MACACU</t>
  </si>
  <si>
    <t>170026/002283/2022</t>
  </si>
  <si>
    <t>RECUPERAÇÃO DE PAVIMENTAÇÃO - CACHOEIRAS DE MACACU-RJ</t>
  </si>
  <si>
    <t>007/2023</t>
  </si>
  <si>
    <t>330018/001345/2022</t>
  </si>
  <si>
    <t>OBRAS DE PAVIMENTAÇÃO E DRENAGEM EM PAPUCAIA, CACHOEIRAS DE MACACU/RJ</t>
  </si>
  <si>
    <t>330018/001787/2022</t>
  </si>
  <si>
    <t>DRENAGEM, PAVIMENTAÇÃO E MEIO-FIO EM PAPUCAIA, CACHOEIRAS DE MACACU/RJ</t>
  </si>
  <si>
    <t>330018/001605/2022</t>
  </si>
  <si>
    <t>DRENAGEM, PAVIMENTAÇÃO E MEIO-FIO EM JAPUÍBA, CACHOEIRAS DE MACACU/RJ</t>
  </si>
  <si>
    <t>330018/001635/2022</t>
  </si>
  <si>
    <t>DRENAGEM, ESGOTO E PAVIMENTAÇÃO – EXPANSÃO, CACHOEIRAS DE MACACU</t>
  </si>
  <si>
    <t>330018/000511/2021</t>
  </si>
  <si>
    <t>CONSTRUTORA SÉRGIO PORTO LTDA</t>
  </si>
  <si>
    <t>OBRAS DE DRENAGEM E PAVIMENTAÇÃO EM GUARARAPES, CACHOEIRAS DE MACACU/RJ</t>
  </si>
  <si>
    <t>089/2022</t>
  </si>
  <si>
    <t>170026/001654/2022</t>
  </si>
  <si>
    <t>CICLOVIA EM BETEL, CACHOEIRAS DE MACACU/RJ</t>
  </si>
  <si>
    <t>330018/001340/2022</t>
  </si>
  <si>
    <t>CONSTRUÇÃO DA PRAÇA VILAGE JAPUÍBA – CACHOEIRAS DE MACACU</t>
  </si>
  <si>
    <t>170026/000427/2022</t>
  </si>
  <si>
    <t>IMPLANTAÇÃO DA PRAÇA AGRO BRASIL – CACHOEIRAS DE MACACU</t>
  </si>
  <si>
    <t>170026/001112/2022</t>
  </si>
  <si>
    <t>REFORMA DE PRAÇAS – VILAGE JAPUÍBA, AGRO BRASIL E SÃO JOSÉ - CACHOEIRAS DE MACACU</t>
  </si>
  <si>
    <t>170026/001870/2021</t>
  </si>
  <si>
    <t>MCJL ENGENHARIA E SERVIÇOS LTDA</t>
  </si>
  <si>
    <t>IMPLANTAÇÃO DA PRAÇA VILAGE JAPUIBA, CACHOEIRAS DE MACACU/RJ</t>
  </si>
  <si>
    <t>078/2022</t>
  </si>
  <si>
    <t>170026/001116/2022</t>
  </si>
  <si>
    <t>PRAÇA LOURIVAL – JAPUÍBA, CACHOEIRAS DE MACACU</t>
  </si>
  <si>
    <t>170026/001114/2022</t>
  </si>
  <si>
    <t>PRAÇA DO TABOADO – PORTO TABOADO, CACHOEIRAS DE MACACU</t>
  </si>
  <si>
    <t>170026/001113/2022</t>
  </si>
  <si>
    <t>PAVIMENTAÇÃO E DRENAGEM NO BAIRRO MARIA JOAQUINA – CABO FRIO/RJ</t>
  </si>
  <si>
    <t>CABO FRIO</t>
  </si>
  <si>
    <t>170026/002345/2022</t>
  </si>
  <si>
    <t>CONSTRUÇÃO DO COLÉGIO ESTADUAL CARLOS HEITOR CONY</t>
  </si>
  <si>
    <t>170026/000279/2021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</si>
  <si>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 - LOTE I (BAIXADA LITORÂNEA, REGIÃO DOS LAGOS, NORTE E NOROESTE)</t>
  </si>
  <si>
    <t>330001/001342/2025</t>
  </si>
  <si>
    <t>IMPLANTAÇÃO DE CAMPO DE GRAMA SINTÉTICA E REFORMA DE PRAÇAS E EQUIPAMENTOS ESPORTIVOS EM CABO FRIO/RJ</t>
  </si>
  <si>
    <t>170026/003162/2022</t>
  </si>
  <si>
    <t>URBANIZAÇÃO E INFRAESTRUTURA DA PRAÇA UNAMAR – TAMOIOS, CABO FRIO/RJ</t>
  </si>
  <si>
    <t>170026/003186/2022</t>
  </si>
  <si>
    <t>IMPLANTAÇÃO DE CAMPO DE GRAMA SINTÉTICA E REFORMA DA PRAÇA ITAJURÚ, CABO FRIO/RJ</t>
  </si>
  <si>
    <t>170026/000277/2022</t>
  </si>
  <si>
    <t>URBANIZAÇÃO DA PRAÇA AYRTON SENNA – CABO FRIO/RJ</t>
  </si>
  <si>
    <t>170026/000275/2022</t>
  </si>
  <si>
    <t>IMPLANTAÇÃO DE CAMPO DE GRAMA SINTÉTICA E REFORMA DA PRAÇA DA GAMBOA, CABO FRIO/RJ</t>
  </si>
  <si>
    <t>170026/000680/2022</t>
  </si>
  <si>
    <t>IMPLANTAÇÃO DE CAMPO DE GRAMA SINTÉTICA E REFORMA DA PRAÇA CAIÇARA I, CABO FRIO/RJ</t>
  </si>
  <si>
    <t>170026/000279/2022</t>
  </si>
  <si>
    <t>IMPLANTAÇÃO DE ARENA MULTIUSO NO BAIRRO MARIA JOAQUINA – CABO FRIO/RJ</t>
  </si>
  <si>
    <t>330018/000191/2022</t>
  </si>
  <si>
    <t>REFORMA DO CAMPO E QUADRA DA PRAÇA CAIÇARA II – CABO FRIO/RJ</t>
  </si>
  <si>
    <t>170026/000278/2022</t>
  </si>
  <si>
    <t>IMPLANTAÇÃO DE CAMPO DE GRAMA SINTÉTICA E REFORMA DA PRAÇA ESPORTIVA BOCA DA BARRA, CABO FRIO/RJ</t>
  </si>
  <si>
    <t>170026/000276/2022</t>
  </si>
  <si>
    <t>URBANIZAÇÃO DA PRAÇA SANTO ANTÔNIO – TAMOIOS, CABO FRIO/RJ</t>
  </si>
  <si>
    <t>170026/003184/2022</t>
  </si>
  <si>
    <t>REFORMA DAS PRAÇAS CAMINHO DE BÚZIOS E MANOEL CORRÊA – CABO FRIO/RJ</t>
  </si>
  <si>
    <t>170026/003337/2021</t>
  </si>
  <si>
    <t>REFORMA DA PRAÇA SÃO CRISTÓVÃO – CABO FRIO/RJ</t>
  </si>
  <si>
    <t>170026/001692/2020</t>
  </si>
  <si>
    <t>REFORMA E URBANIZAÇÃO PRAÇA MARIA NAZARETH – CABO FRIO/RJ</t>
  </si>
  <si>
    <t>170026/000681/2022</t>
  </si>
  <si>
    <t>REFORMA E URBANIZAÇÃO DA PRAÇA MANOEL CORRÊA – CABO FRIO/RJ</t>
  </si>
  <si>
    <t>170026/000679/2022</t>
  </si>
  <si>
    <t>AMPLIAÇÃO DO COMPLEXO POLIESPORTIVO SEBASTIÃO P. MARQUES - BOM JESUS/RJ</t>
  </si>
  <si>
    <t>BOM JESUS DO ITABAPOANA</t>
  </si>
  <si>
    <t>170026/003751/2021</t>
  </si>
  <si>
    <t>REVITALIZAÇÃO DA PRAÇA JOÃO CATARINA - PIRAPETINGA - BOM JESUS/RJ</t>
  </si>
  <si>
    <t>170026/003750/2021</t>
  </si>
  <si>
    <t>QUADRA POLIESPORTIVA COBERTA COM VESTIÁRIO - USINA SANTA ISABEL - BOM JESUS/RJ</t>
  </si>
  <si>
    <t>170026/003748/2021</t>
  </si>
  <si>
    <t>REFORMA DA PRAÇA NOVA BOM JESUS - BOM JESUS DO ITABAPOANA/RJ</t>
  </si>
  <si>
    <t>170026/003747/2021</t>
  </si>
  <si>
    <t>PISTA DE CAMINHADA - LOTEAMENTO SANTA EDWIRGES - BOM JESUS/RJ</t>
  </si>
  <si>
    <t>170026/003746/2021</t>
  </si>
  <si>
    <t>REFORMA DA PRAÇA E QUADRA JOSÉ CANTO MASCARENHAS - BOM JESUS/RJ</t>
  </si>
  <si>
    <t>170026/003745/2021</t>
  </si>
  <si>
    <t>REVITALIZAÇÃO DO LAGO - SANTA MARIA - BOM JESUS/RJ</t>
  </si>
  <si>
    <t>170026/003744/2021</t>
  </si>
  <si>
    <t>REURBANIZAÇÃO DO CENTRO - BOM JESUS DO ITABAPOANA/RJ</t>
  </si>
  <si>
    <t>170026/003743/2021</t>
  </si>
  <si>
    <t>URBANIZAÇÃO E QUADRA POLIESPORTIVA - USINA SANTA IZABEL - BOM JESUS/RJ</t>
  </si>
  <si>
    <t>170026/001389/2021</t>
  </si>
  <si>
    <t>REFORMA DA PRAÇA JOÃO CATARINA - PIRAPETINGA - BOM JESUS/RJ</t>
  </si>
  <si>
    <t>170026/000646/2021</t>
  </si>
  <si>
    <t>PAVIMENTAÇÃO COM DRENAGEM - BOM JESUS DO ITABAPOANA/RJ</t>
  </si>
  <si>
    <t>170026/000643/2021</t>
  </si>
  <si>
    <t>CALÇAMENTO COM DRENAGEM - RUA MARIA APARECIDA R. MARTINS - BOM JESUS/RJ</t>
  </si>
  <si>
    <t>170026/000638/2021</t>
  </si>
  <si>
    <t>CALÇAMENTO COM DRENAGEM - RUA MARIA TULIBA - BOM JESUS/RJ</t>
  </si>
  <si>
    <t>170026/000637/2021</t>
  </si>
  <si>
    <t>CALÇAMENTO COM DRENAGEM - RUA CANTÃO - BOM JESUS/RJ</t>
  </si>
  <si>
    <t>170026/000636/2021</t>
  </si>
  <si>
    <t>REFORMA DE QUADRA E BANHEIROS - BELA VISTA - BOM JESUS/RJ</t>
  </si>
  <si>
    <t>170026/000631/2021</t>
  </si>
  <si>
    <t>PAVIMENTAÇÃO E DRENAGEM EM BOM JARDIM/RJ (Ruas Presidente Vargas e Nilo Peçanha)</t>
  </si>
  <si>
    <t>330018/000848/2021</t>
  </si>
  <si>
    <t>INTERVENÇÃO URBANÍSTICA E GEOTECNIA NA RUA MILTON MONNERAT</t>
  </si>
  <si>
    <t>018/2025</t>
  </si>
  <si>
    <t>QUADRA POLIESPORTIVA – JARDIM BOA ESPERANÇA, BOM JARDIM</t>
  </si>
  <si>
    <t>170026/003228/2021</t>
  </si>
  <si>
    <t>RECUPERAÇÃO DE GALERIA DE DRENAGEM – BOM JARDIM/RJ</t>
  </si>
  <si>
    <t>170026/002087/2021</t>
  </si>
  <si>
    <t>DRENAGEM E PAVIMENTAÇÃO – VILA CLÁUDIA E SHANGRILÁ, BELFORD ROXO/RJ</t>
  </si>
  <si>
    <t>330001/000156/2025</t>
  </si>
  <si>
    <t>DRENAGEM, PAVIMENTAÇÃO E CONTENÇÃO EM PIAM - BELFORD ROXO/RJ</t>
  </si>
  <si>
    <t>330018/001252/2022</t>
  </si>
  <si>
    <t>PROJETO E OBRAS DE DRENAGEM E PAVIMENTAÇÃO NA AV. NOVA AURORA, BELFORD ROXO/RJ</t>
  </si>
  <si>
    <t>330018/002047/2022</t>
  </si>
  <si>
    <t>REFORMA DE CONJUNTO HABITACIONAL NO BAIRRO SANTO ANTÔNIO DA PRATA, BELFORD ROXO/RJ</t>
  </si>
  <si>
    <t>330018/000773/2022</t>
  </si>
  <si>
    <t>CONTENÇÃO NA VILA SANTA RITA - BELFORD ROXO/RJ</t>
  </si>
  <si>
    <t>330018/001643/2022</t>
  </si>
  <si>
    <t>ESTABILIZAÇÃO DE ENCOSTA – MURO DE CONTENÇÃO – BELFORD ROXO-RJ</t>
  </si>
  <si>
    <t>330018/000756/2022</t>
  </si>
  <si>
    <t>PONTE EM CONCRETO PROTENDIDO COM DRENAGEM – BELFORD ROXO/RJ</t>
  </si>
  <si>
    <t>004/2024</t>
  </si>
  <si>
    <t>ESTABILIZAÇÃO DE ENCOSTA DA RUA DIAMANTINA - BELFORD ROXO</t>
  </si>
  <si>
    <t>015/2023</t>
  </si>
  <si>
    <t>MODERNIZAÇÃO E INFRAESTRUTURA – PARQUE DA CIDADE – BARRA MANSA-RJ</t>
  </si>
  <si>
    <t>170026/001440/2022</t>
  </si>
  <si>
    <t>INFRAESTRUTURA E PAVIMENTAÇÃO – BAIRROS DE BARRA MANSA-RJ</t>
  </si>
  <si>
    <t>330018/000311/2022</t>
  </si>
  <si>
    <t>MICRODRENAGEM, CALÇADAS E PAVIMENTAÇÃO – BAIRROS DE BARRA MANSA-RJ</t>
  </si>
  <si>
    <t>460001/002017/2023</t>
  </si>
  <si>
    <t>CANALIZAÇÃO E URBANIZAÇÃO – AV. PINHEIROS – BARRA MANSA-RJ</t>
  </si>
  <si>
    <t>008/2023</t>
  </si>
  <si>
    <t>IMPLANTAÇÃO DE ADUTORA – BAIRROS BOA SORTE E PARAÍSO – BARRA MANSA-RJ</t>
  </si>
  <si>
    <t>170026/003817/2021</t>
  </si>
  <si>
    <t>USINAGEM E PAVIMENTAÇÃO – BAIRROS DE BARRA MANSA-RJ</t>
  </si>
  <si>
    <t>330018/001108/2022</t>
  </si>
  <si>
    <t>AMPLIAÇÃO DO ABASTECIMENTO DE ÁGUA – BAIRROS DE BARRA MANSA-RJ</t>
  </si>
  <si>
    <t>170026/003298/2022</t>
  </si>
  <si>
    <t>RECUPERAÇÃO DE PAVIMENTAÇÃO – BARRA MANSA-RJ (#FUNDO SOBERADO)</t>
  </si>
  <si>
    <t>013/2024</t>
  </si>
  <si>
    <t>REURBANIZAÇÃO E SENSORIAL DO TRECHO ENTRE AS RUAS JOSÉ ALVES DE SOUZA E SEBASTIÃO GOMES DE BRITO SOBRINHO - VILA NOVA</t>
  </si>
  <si>
    <t>330001/000206/2026</t>
  </si>
  <si>
    <t>DECK ÀS MARGENS DO RIO PARAÍBA DO SUL</t>
  </si>
  <si>
    <t>330001/001925/2025</t>
  </si>
  <si>
    <t>USINAGEM, TRANSPORTE E PAVIMENTAÇÃO EM CBUQ – BARRA MANSA/RJ</t>
  </si>
  <si>
    <t>005/2024</t>
  </si>
  <si>
    <t>STATLED BRASIL CONSTRUTORA I LTDA (subsidiária)</t>
  </si>
  <si>
    <t>PAVIMENTAÇÃO E DRENAGEM – AV. PRESIDENTE KENNEDY – BARRA MANSA-RJ</t>
  </si>
  <si>
    <t>063/2022</t>
  </si>
  <si>
    <t>PREMAG - SISTEMA DE CONSTRUÇÕES LTDA</t>
  </si>
  <si>
    <t>CONSTRUÇÃO DE PONTE - BARRA MANSA/RJ</t>
  </si>
  <si>
    <t>027/2021</t>
  </si>
  <si>
    <t>170026/001812/2021</t>
  </si>
  <si>
    <t>CONTENÇÃO DE TALUDE – RUA MAURO GRANATO – BARRA MANSA-RJ</t>
  </si>
  <si>
    <t>170026/003814/2021</t>
  </si>
  <si>
    <t>RECAPEAMENTO, PAVIMENTAÇÃO E CONTENÇÃO – BARRA MANSA-RJ</t>
  </si>
  <si>
    <t>REVESTIMENTO ASFÁLTICO, DRENAGEM E GALERIAS – BARRA DO PIRAÍ-RJ</t>
  </si>
  <si>
    <t>013/2023</t>
  </si>
  <si>
    <t>REVESTIMENTO ASFÁLTICO, DRENAGEM, CONSTRUÇÃO DE GALERIAS DE ÁGUAS PLUVIAIS, URBANIZAÇÃO, CICLOFAIXA E ESTABILIZAÇÃO DE TALUDE, MUNICÍPIO DE BARRA DO PIRAÍ - RJJ</t>
  </si>
  <si>
    <t>014/2025</t>
  </si>
  <si>
    <t>CONTRATAÇÃO DE EMPRESA PARA ELABORAÇÃO E EXECUÇÃO DE PROJETOS E OBRAS DE CALÇADAS NO CENTRO DE BARRA DO PIRAÍ</t>
  </si>
  <si>
    <t>170026/000517/2022</t>
  </si>
  <si>
    <t>REFORMA DO CIEP 284 – DISTRITO DA CALIFÓRNIA – BARRA DO PIRAÍ-RJ</t>
  </si>
  <si>
    <t>170026/001998/2022</t>
  </si>
  <si>
    <t>REFORMA DO CIEP 428 PROFESSORA MARIANA COELHO, VARGEM ALEGRE, BARRA DO PIRAÍ-RJ</t>
  </si>
  <si>
    <t>170026/001999/2022</t>
  </si>
  <si>
    <t>REFORMA DAS PRAÇAS E CAMPOS NA RUA PRESIDENTE COSTA E SILVA, CALIFÓRNIA, BARRA DO PIRAÍ-RJ</t>
  </si>
  <si>
    <t>170026/000514/2022</t>
  </si>
  <si>
    <t>REFORMA DA PRAÇA PEDRO CUNHA – CENTRO – BARRA DO PIRAÍ-RJ</t>
  </si>
  <si>
    <t>170026/000513/2022</t>
  </si>
  <si>
    <t>REFORMA DA PRAÇA – VARGEM ALEGRE – BARRA DO PIRAÍ-RJ</t>
  </si>
  <si>
    <t>170026/000515/2022</t>
  </si>
  <si>
    <t>CONSTRUÇÃO DA PRAÇA NO NOVO CONJUNTO HABITACIONAL, VAGEM ALEGRE, BARRA DO PIRAÍ</t>
  </si>
  <si>
    <t>170026/000516/2022</t>
  </si>
  <si>
    <t>REFORMA DE PRAÇA – BAIRRO OFICINAS VELHAS – BARRA DO PIRAÍ-RJ</t>
  </si>
  <si>
    <t>170026/000511/2022</t>
  </si>
  <si>
    <t>CONTENÇÃO DE TALUDE – BAIRROS AREAL E BOA SORTE – BARRA DO PIRAÍ-RJ</t>
  </si>
  <si>
    <t>330001/001910/2024</t>
  </si>
  <si>
    <t>PAVIMENTAÇÃO, DRENAGEM, SINALIZAÇÃO E ILUMINAÇÃO NA ESTRADA DA FAZENDINHA – BÚZIOS/RJ</t>
  </si>
  <si>
    <t>ARMAÇÃO DOS BÚZIOS</t>
  </si>
  <si>
    <t>330018/001612/2022</t>
  </si>
  <si>
    <t>CONSTRUÇÃO DO COLÉGIO ESTADUAL PROFESSOR FRANCISCO MARIA DE SOUZA - BÚZIOS/RJ</t>
  </si>
  <si>
    <t>170026/000278/2021</t>
  </si>
  <si>
    <t>CONTRATAÇÃO DE EMPRESA ESPECIALIZADA PARA EXECUÇÃO DE OBRAS PARA ADEQUAÇÃO DE ACESSOS VIÁRIOS NO MUNICÍPIO DE AREAL/RJ</t>
  </si>
  <si>
    <t>AREAL</t>
  </si>
  <si>
    <t>330001/001542/2025</t>
  </si>
  <si>
    <t>OBRAS DE INFRAESTRUTURA E MELHORIA VIÁRIA EM AREAL/RJ</t>
  </si>
  <si>
    <t>025/2021</t>
  </si>
  <si>
    <t>170026/000814/2021</t>
  </si>
  <si>
    <t>ELABORAÇÃO DE PROJETO EXECUTIVO E REALIZAÇÃO DOS SERVIÇOS DE DRENAGEM, PAVIMENTAÇÃO, SINALIZAÇÃO HORIZONTAL E CALÇADA, NO BAIRRO FAZENDINHA (BACIAS 1 E 3), NO MUNICÍPIO DE ARARUAMA/RJ.</t>
  </si>
  <si>
    <t>330001/001564/2025</t>
  </si>
  <si>
    <t>ELABORAÇÃO DE PROJETO EXECUTIVO E REALIZAÇÃO DOS SERVIÇOS DE DRENAGEM, PAVIMENTAÇÃO, SINALIZAÇÃO HORIZONTAL E CALÇADA, NO BAIRRO FAZENDINHA (BACIA 2), NO MUNICÍPIO DE ARARUAMA/RJ.</t>
  </si>
  <si>
    <t>330001/001549/2025</t>
  </si>
  <si>
    <t>PAVIMENTAÇÃO E DRENAGEM EM DIVERSAS VIAS DO 3º DISTRITO – ARARUAMA/RJ</t>
  </si>
  <si>
    <t>170026/001780/2022</t>
  </si>
  <si>
    <t>DRENAGEM, PAVIMENTAÇÃO E URBANIZAÇÃO NA RUA OSCAR CLARK – FONTE LIMPA, ARARUAMA/RJ</t>
  </si>
  <si>
    <t>170026/002066/2021</t>
  </si>
  <si>
    <t>CONSTRUÇÃO DE QUADRA POLIESPORTIVA NA ESCOLA CELINA MESQUITA PEDROSA – ARARUAMA/RJ</t>
  </si>
  <si>
    <t>170026/002950/2021</t>
  </si>
  <si>
    <t>DRENAGEM E PAVIMENTAÇÃO NA FAZENDINHA</t>
  </si>
  <si>
    <t>330001/000487/2025</t>
  </si>
  <si>
    <t>CONSTRUÇÃO DE QUADRA POLIESPORTIVA NA ESCOLA VEREADOR MOYSÉS RAMALHO – ARARUAMA/RJ</t>
  </si>
  <si>
    <t>170026/002953/2021</t>
  </si>
  <si>
    <t>DRENAGEM, PAVIMENTAÇÃO E URBANIZAÇÃO NA AV. DO CONTORNO E RUAS ADJACENTES – IGUABINHA, ARARUAMA/RJ</t>
  </si>
  <si>
    <t>170026/002945/2021</t>
  </si>
  <si>
    <t>PAVIMENTAÇÃO, URBANIZAÇÃO E DRENAGEM EM PARATY E FAZENDINHA – ARARUAMA/RJ</t>
  </si>
  <si>
    <t>170026/000477/2022</t>
  </si>
  <si>
    <t>CONSTRUÇÃO DE ACOSTAMENTO, CICLOVIA E CALÇADA EM PRAIA SECA – ARARUAMA/RJ</t>
  </si>
  <si>
    <t>REFORMA E ADEQUAÇÃO DO CENTRO CULTURAL – APERIBÉ/RJ</t>
  </si>
  <si>
    <t>APERIBÉ</t>
  </si>
  <si>
    <t>330001/001445/2024</t>
  </si>
  <si>
    <t>REFORMA DE PRÉDIO PARA CENTRO CULTURAL – APERIBÉ/RJ</t>
  </si>
  <si>
    <t>170026/002911/2022</t>
  </si>
  <si>
    <t>PAVIMENTAÇÃO NOS BAIRROS DERANES, CAETANO E SERRINHA – APERIBÉ/RJ</t>
  </si>
  <si>
    <t>170026/003819/2021</t>
  </si>
  <si>
    <t>CONTENÇÃO E DRENAGEM - AV. BERTOLDO DA SILVA JORDÃO, MONSUABA - ANGRA DOS REIS/RJ</t>
  </si>
  <si>
    <t>330001/001313/2024</t>
  </si>
  <si>
    <t>GEOSONDA S/A  - EM RECUPERAÇÃO JUDICIAL</t>
  </si>
  <si>
    <t>CONTENÇÃO E DRENAGEM - PRAIA DAS ÉGUAS, ANGRA DOS REIS/RJ</t>
  </si>
  <si>
    <t>170026/001848/2022</t>
  </si>
  <si>
    <t>RECOMPOSIÇÃO DA AV. BEIRA RIO - ANGRA DOS REIS/RJ</t>
  </si>
  <si>
    <t>003/2024</t>
  </si>
  <si>
    <t>330018/000445/2023</t>
  </si>
  <si>
    <t>CONTENÇÃO E DRENAGEM - ILHA DO ARROZ, ANGRA DOS REIS/RJ</t>
  </si>
  <si>
    <t>085/2022</t>
  </si>
  <si>
    <t>REVITALIZAÇÃO DO CAMPO DE FUTEBOL E PRAÇA - CAMPO BELO, ANGRA DOS REIS/RJ</t>
  </si>
  <si>
    <t>170026/003032/2021</t>
  </si>
  <si>
    <t>Prazo Final</t>
  </si>
  <si>
    <t>Ordem de Início</t>
  </si>
  <si>
    <t>Saldo Atual do Contrato</t>
  </si>
  <si>
    <t>Acumulado</t>
  </si>
  <si>
    <t>Valor contrato (Atual)</t>
  </si>
  <si>
    <t>Acumulado atual (%)</t>
  </si>
  <si>
    <t>Contratada</t>
  </si>
  <si>
    <t>Objeto</t>
  </si>
  <si>
    <t>Fase</t>
  </si>
  <si>
    <t>Nº do contrato</t>
  </si>
  <si>
    <t>Municipio</t>
  </si>
  <si>
    <t>Processo SEI</t>
  </si>
  <si>
    <t>GESTOR</t>
  </si>
  <si>
    <t>STATUS_original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</si>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</sst>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\R\$#,##0.00;\-\R\$#,##0.00"/>
  </numFmts>
  <fonts count="1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40404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1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/>
    <xf numFmtId="1" fontId="3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0" fontId="0" fillId="0" borderId="6" xfId="0" applyBorder="1"/>
    <xf numFmtId="1" fontId="2" fillId="5" borderId="4" xfId="0" quotePrefix="1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0" fillId="5" borderId="1" xfId="0" applyFont="1" applyFill="1" applyBorder="1" applyAlignment="1"/>
    <xf numFmtId="0" fontId="0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left"/>
    </xf>
    <xf numFmtId="1" fontId="2" fillId="5" borderId="4" xfId="0" applyNumberFormat="1" applyFont="1" applyFill="1" applyBorder="1" applyAlignment="1">
      <alignment horizontal="left"/>
    </xf>
    <xf numFmtId="0" fontId="0" fillId="5" borderId="1" xfId="0" applyFill="1" applyBorder="1"/>
    <xf numFmtId="1" fontId="3" fillId="5" borderId="1" xfId="0" applyNumberFormat="1" applyFont="1" applyFill="1" applyBorder="1" applyAlignment="1"/>
    <xf numFmtId="1" fontId="1" fillId="5" borderId="1" xfId="0" applyNumberFormat="1" applyFont="1" applyFill="1" applyBorder="1" applyAlignment="1"/>
    <xf numFmtId="1" fontId="4" fillId="5" borderId="1" xfId="0" applyNumberFormat="1" applyFont="1" applyFill="1" applyBorder="1" applyAlignment="1"/>
    <xf numFmtId="1" fontId="5" fillId="5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6" borderId="1" xfId="0" applyFont="1" applyFill="1" applyBorder="1" applyAlignment="1"/>
    <xf numFmtId="0" fontId="3" fillId="6" borderId="1" xfId="0" applyFont="1" applyFill="1" applyBorder="1" applyAlignment="1"/>
    <xf numFmtId="0" fontId="3" fillId="4" borderId="1" xfId="0" applyFont="1" applyFill="1" applyBorder="1" applyAlignment="1"/>
    <xf numFmtId="0" fontId="4" fillId="6" borderId="1" xfId="0" applyFont="1" applyFill="1" applyBorder="1" applyAlignment="1"/>
    <xf numFmtId="0" fontId="4" fillId="4" borderId="1" xfId="0" applyFont="1" applyFill="1" applyBorder="1" applyAlignment="1"/>
    <xf numFmtId="0" fontId="9" fillId="6" borderId="1" xfId="0" applyFont="1" applyFill="1" applyBorder="1" applyAlignment="1"/>
    <xf numFmtId="0" fontId="9" fillId="4" borderId="1" xfId="0" applyFont="1" applyFill="1" applyBorder="1" applyAlignment="1"/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/>
    <xf numFmtId="0" fontId="3" fillId="5" borderId="4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/>
    <xf numFmtId="0" fontId="3" fillId="5" borderId="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/>
    </xf>
    <xf numFmtId="164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0" xfId="0" applyFont="1"/>
    <xf numFmtId="0" fontId="11" fillId="7" borderId="9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right"/>
    </xf>
    <xf numFmtId="165" fontId="11" fillId="7" borderId="3" xfId="0" applyNumberFormat="1" applyFont="1" applyFill="1" applyBorder="1" applyAlignment="1">
      <alignment horizontal="right"/>
    </xf>
    <xf numFmtId="165" fontId="11" fillId="7" borderId="3" xfId="0" applyNumberFormat="1" applyFont="1" applyFill="1" applyBorder="1" applyAlignment="1">
      <alignment horizontal="left"/>
    </xf>
    <xf numFmtId="164" fontId="11" fillId="7" borderId="3" xfId="0" applyNumberFormat="1" applyFont="1" applyFill="1" applyBorder="1" applyAlignment="1">
      <alignment horizontal="right"/>
    </xf>
    <xf numFmtId="164" fontId="11" fillId="7" borderId="8" xfId="0" applyNumberFormat="1" applyFont="1" applyFill="1" applyBorder="1" applyAlignment="1">
      <alignment horizontal="right"/>
    </xf>
    <xf numFmtId="0" fontId="11" fillId="7" borderId="4" xfId="0" applyFont="1" applyFill="1" applyBorder="1" applyAlignment="1">
      <alignment vertical="top"/>
    </xf>
    <xf numFmtId="0" fontId="11" fillId="7" borderId="1" xfId="0" applyFont="1" applyFill="1" applyBorder="1" applyAlignment="1">
      <alignment vertical="top"/>
    </xf>
    <xf numFmtId="165" fontId="11" fillId="7" borderId="1" xfId="0" applyNumberFormat="1" applyFont="1" applyFill="1" applyBorder="1" applyAlignment="1">
      <alignment vertical="top"/>
    </xf>
    <xf numFmtId="165" fontId="11" fillId="7" borderId="1" xfId="0" applyNumberFormat="1" applyFont="1" applyFill="1" applyBorder="1" applyAlignment="1">
      <alignment horizontal="left" vertical="top"/>
    </xf>
    <xf numFmtId="164" fontId="11" fillId="2" borderId="1" xfId="0" applyNumberFormat="1" applyFont="1" applyFill="1" applyBorder="1" applyAlignment="1">
      <alignment horizontal="left" vertical="top"/>
    </xf>
    <xf numFmtId="164" fontId="11" fillId="2" borderId="5" xfId="0" applyNumberFormat="1" applyFont="1" applyFill="1" applyBorder="1" applyAlignment="1">
      <alignment horizontal="left" vertical="top"/>
    </xf>
    <xf numFmtId="164" fontId="11" fillId="7" borderId="1" xfId="0" applyNumberFormat="1" applyFont="1" applyFill="1" applyBorder="1" applyAlignment="1">
      <alignment vertical="top"/>
    </xf>
    <xf numFmtId="164" fontId="11" fillId="7" borderId="5" xfId="0" applyNumberFormat="1" applyFont="1" applyFill="1" applyBorder="1" applyAlignment="1">
      <alignment vertical="top"/>
    </xf>
    <xf numFmtId="0" fontId="11" fillId="2" borderId="1" xfId="0" applyFont="1" applyFill="1" applyBorder="1" applyAlignment="1">
      <alignment horizontal="left" vertical="top"/>
    </xf>
    <xf numFmtId="0" fontId="11" fillId="7" borderId="6" xfId="0" applyFont="1" applyFill="1" applyBorder="1" applyAlignment="1">
      <alignment vertical="top"/>
    </xf>
    <xf numFmtId="0" fontId="11" fillId="7" borderId="2" xfId="0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left" vertical="top"/>
    </xf>
    <xf numFmtId="164" fontId="11" fillId="2" borderId="2" xfId="0" applyNumberFormat="1" applyFont="1" applyFill="1" applyBorder="1" applyAlignment="1">
      <alignment horizontal="left" vertical="top"/>
    </xf>
    <xf numFmtId="164" fontId="11" fillId="2" borderId="7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Font="1"/>
    <xf numFmtId="0" fontId="1" fillId="3" borderId="9" xfId="0" applyFont="1" applyFill="1" applyBorder="1" applyAlignment="1">
      <alignment horizontal="center" vertical="center"/>
    </xf>
    <xf numFmtId="0" fontId="2" fillId="5" borderId="4" xfId="0" quotePrefix="1" applyFont="1" applyFill="1" applyBorder="1" applyAlignment="1"/>
    <xf numFmtId="1" fontId="2" fillId="4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 applyAlignment="1">
      <alignment horizontal="left"/>
    </xf>
    <xf numFmtId="1" fontId="3" fillId="6" borderId="4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 applyAlignment="1"/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/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4" formatCode="dd\-mm\-yyyy"/>
      <fill>
        <patternFill patternType="solid">
          <fgColor indexed="64"/>
          <bgColor rgb="FFF2F2F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4" formatCode="dd\-mm\-yyyy"/>
      <fill>
        <patternFill patternType="solid">
          <fgColor indexed="64"/>
          <bgColor rgb="FFF2F2F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97FFEBA-48DF-43E6-B1B7-6C49A4E83D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RENDIZADO%20APP\MEDICOES\MEDI&#199;&#213;ES_CONSOLIDADO.xlsx" TargetMode="External"/><Relationship Id="rId1" Type="http://schemas.openxmlformats.org/officeDocument/2006/relationships/externalLinkPath" Target="MEDI&#199;&#213;ES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ções"/>
      <sheetName val="PROBLEMAS"/>
      <sheetName val="GESTOR_FALTANTES"/>
    </sheetNames>
    <sheetDataSet>
      <sheetData sheetId="0">
        <row r="2">
          <cell r="B2" t="str">
            <v>330018/000053/2023</v>
          </cell>
          <cell r="C2" t="str">
            <v>CIVIS</v>
          </cell>
          <cell r="D2">
            <v>662</v>
          </cell>
          <cell r="E2">
            <v>45566</v>
          </cell>
          <cell r="F2">
            <v>46228</v>
          </cell>
          <cell r="G2">
            <v>36782151.810000002</v>
          </cell>
          <cell r="H2" t="str">
            <v>EXECUÇÃO</v>
          </cell>
          <cell r="I2" t="str">
            <v>JAQUELINE PASTÓRIO</v>
          </cell>
        </row>
        <row r="3">
          <cell r="B3" t="str">
            <v>330018/000695/2021</v>
          </cell>
          <cell r="C3" t="str">
            <v>CIVIS</v>
          </cell>
          <cell r="D3">
            <v>1083</v>
          </cell>
          <cell r="E3">
            <v>45309</v>
          </cell>
          <cell r="F3">
            <v>46392</v>
          </cell>
          <cell r="G3">
            <v>31022838.120000001</v>
          </cell>
          <cell r="H3" t="str">
            <v>EXECUÇÃO</v>
          </cell>
          <cell r="I3" t="str">
            <v>ISADORA ROSALINO</v>
          </cell>
        </row>
        <row r="4">
          <cell r="B4" t="str">
            <v>330018/001025/2021</v>
          </cell>
          <cell r="C4" t="str">
            <v>CIVIS</v>
          </cell>
          <cell r="D4">
            <v>1456</v>
          </cell>
          <cell r="E4">
            <v>44753</v>
          </cell>
          <cell r="F4">
            <v>46209</v>
          </cell>
          <cell r="G4">
            <v>51119038.920000002</v>
          </cell>
          <cell r="H4" t="str">
            <v>EXECUÇÃO</v>
          </cell>
          <cell r="I4" t="str">
            <v>CARLOS FERNANDES</v>
          </cell>
        </row>
        <row r="5">
          <cell r="B5" t="str">
            <v>330001/001080/2025</v>
          </cell>
          <cell r="C5" t="str">
            <v>CIVIS</v>
          </cell>
          <cell r="D5">
            <v>360</v>
          </cell>
          <cell r="E5">
            <v>45868</v>
          </cell>
          <cell r="F5">
            <v>46228</v>
          </cell>
          <cell r="G5">
            <v>18990162.940000001</v>
          </cell>
          <cell r="H5" t="str">
            <v>EXECUÇÃO</v>
          </cell>
          <cell r="I5" t="str">
            <v>JAQUELINE PASTÓRIO</v>
          </cell>
        </row>
        <row r="6">
          <cell r="B6" t="str">
            <v>330018/000699/2021</v>
          </cell>
          <cell r="C6" t="str">
            <v>CIVIS</v>
          </cell>
          <cell r="D6">
            <v>1509</v>
          </cell>
          <cell r="E6">
            <v>44655</v>
          </cell>
          <cell r="F6">
            <v>46164</v>
          </cell>
          <cell r="G6">
            <v>1528883.61</v>
          </cell>
          <cell r="H6" t="str">
            <v>EXECUÇÃO</v>
          </cell>
          <cell r="I6" t="str">
            <v>JAQUELINE PASTÓRIO</v>
          </cell>
        </row>
        <row r="7">
          <cell r="B7" t="str">
            <v>330018/000658/2022</v>
          </cell>
          <cell r="C7" t="str">
            <v>CIVIS</v>
          </cell>
          <cell r="D7">
            <v>844</v>
          </cell>
          <cell r="E7">
            <v>45278</v>
          </cell>
          <cell r="F7">
            <v>46122</v>
          </cell>
          <cell r="G7">
            <v>3294597.99</v>
          </cell>
          <cell r="H7" t="str">
            <v>EXECUÇÃO</v>
          </cell>
          <cell r="I7" t="str">
            <v>JEHNIFFER PIRES</v>
          </cell>
        </row>
        <row r="8">
          <cell r="B8" t="str">
            <v>330018/000696/2021</v>
          </cell>
          <cell r="C8" t="str">
            <v>CIVIS</v>
          </cell>
          <cell r="D8">
            <v>1261</v>
          </cell>
          <cell r="E8">
            <v>44883</v>
          </cell>
          <cell r="F8">
            <v>46144</v>
          </cell>
          <cell r="G8">
            <v>62211091.020000003</v>
          </cell>
          <cell r="H8" t="str">
            <v>EXECUÇÃO</v>
          </cell>
          <cell r="I8" t="str">
            <v>ISADORA ROSALINO</v>
          </cell>
        </row>
        <row r="9">
          <cell r="B9" t="str">
            <v>330018/000085/2022</v>
          </cell>
          <cell r="C9" t="str">
            <v>CIVIS</v>
          </cell>
          <cell r="D9">
            <v>1325</v>
          </cell>
          <cell r="E9">
            <v>45035</v>
          </cell>
          <cell r="F9">
            <v>46360</v>
          </cell>
          <cell r="G9">
            <v>56189486.280000001</v>
          </cell>
          <cell r="H9" t="str">
            <v>EXECUÇÃO</v>
          </cell>
          <cell r="I9" t="str">
            <v>JEHNIFFER PIRES</v>
          </cell>
        </row>
        <row r="10">
          <cell r="B10" t="str">
            <v>330001/001282/2024</v>
          </cell>
          <cell r="C10" t="str">
            <v>CIVIS</v>
          </cell>
          <cell r="D10">
            <v>180</v>
          </cell>
          <cell r="E10">
            <v>46009</v>
          </cell>
          <cell r="F10">
            <v>46189</v>
          </cell>
          <cell r="G10">
            <v>4705907.3</v>
          </cell>
          <cell r="H10" t="str">
            <v>EXECUÇÃO</v>
          </cell>
          <cell r="I10" t="str">
            <v>GISELLE G. FONSECA</v>
          </cell>
        </row>
        <row r="11">
          <cell r="B11" t="str">
            <v>460001/002050/2023</v>
          </cell>
          <cell r="C11" t="str">
            <v>CIVIS</v>
          </cell>
          <cell r="D11">
            <v>301</v>
          </cell>
          <cell r="E11">
            <v>45782</v>
          </cell>
          <cell r="F11">
            <v>46083</v>
          </cell>
          <cell r="G11">
            <v>2860442.12</v>
          </cell>
          <cell r="H11" t="str">
            <v>EXECUÇÃO</v>
          </cell>
          <cell r="I11" t="str">
            <v>JAQUELINE PASTÓRIO</v>
          </cell>
        </row>
        <row r="12">
          <cell r="B12" t="str">
            <v>330001/001345/2025</v>
          </cell>
          <cell r="C12" t="str">
            <v>CIVIS</v>
          </cell>
          <cell r="F12">
            <v>46312</v>
          </cell>
          <cell r="G12">
            <v>5054505.24</v>
          </cell>
          <cell r="H12" t="str">
            <v>ATA DE REGISTRO</v>
          </cell>
          <cell r="I12" t="str">
            <v>JEHNIFFER PIRES</v>
          </cell>
        </row>
        <row r="13">
          <cell r="B13" t="str">
            <v>330001/001344/2025</v>
          </cell>
          <cell r="C13" t="str">
            <v>CIVIS</v>
          </cell>
          <cell r="D13">
            <v>365</v>
          </cell>
          <cell r="E13">
            <v>45986</v>
          </cell>
          <cell r="F13">
            <v>46351</v>
          </cell>
          <cell r="G13">
            <v>7848019.5300000003</v>
          </cell>
          <cell r="H13" t="str">
            <v>EXECUÇÃO</v>
          </cell>
          <cell r="I13" t="str">
            <v>CARLOS FERNANDES</v>
          </cell>
        </row>
        <row r="14">
          <cell r="B14" t="str">
            <v>330018/000694/2021</v>
          </cell>
          <cell r="C14" t="str">
            <v>CIVIS</v>
          </cell>
          <cell r="D14">
            <v>1500</v>
          </cell>
          <cell r="E14">
            <v>44875</v>
          </cell>
          <cell r="F14">
            <v>46375</v>
          </cell>
          <cell r="G14">
            <v>48872552.259999998</v>
          </cell>
          <cell r="H14" t="str">
            <v>EXECUÇÃO</v>
          </cell>
          <cell r="I14" t="str">
            <v>ISADORA ROSALINO</v>
          </cell>
        </row>
        <row r="15">
          <cell r="B15" t="str">
            <v>460001/001617/2023</v>
          </cell>
          <cell r="C15" t="str">
            <v>CIVIS</v>
          </cell>
          <cell r="D15">
            <v>360</v>
          </cell>
          <cell r="E15">
            <v>46080</v>
          </cell>
          <cell r="F15">
            <v>46440</v>
          </cell>
          <cell r="G15">
            <v>1302281.25</v>
          </cell>
          <cell r="H15" t="str">
            <v>EXECUÇÃO</v>
          </cell>
          <cell r="I15" t="str">
            <v>JAQUELINE PASTÓRIO</v>
          </cell>
        </row>
        <row r="16">
          <cell r="B16" t="str">
            <v>330018/001440/2022</v>
          </cell>
          <cell r="C16" t="str">
            <v>CIVIS</v>
          </cell>
          <cell r="D16">
            <v>1084</v>
          </cell>
          <cell r="E16">
            <v>45155</v>
          </cell>
          <cell r="F16">
            <v>46239</v>
          </cell>
          <cell r="G16">
            <v>34662990.030000001</v>
          </cell>
          <cell r="H16" t="str">
            <v>EXECUÇÃO</v>
          </cell>
          <cell r="I16" t="str">
            <v>GISELLE G. FONSECA</v>
          </cell>
        </row>
        <row r="17">
          <cell r="B17" t="str">
            <v>330001/002122/2024</v>
          </cell>
          <cell r="C17" t="str">
            <v>CIVIS</v>
          </cell>
          <cell r="D17">
            <v>301</v>
          </cell>
          <cell r="E17">
            <v>45865</v>
          </cell>
          <cell r="F17">
            <v>46166</v>
          </cell>
          <cell r="G17">
            <v>7430869.3200000003</v>
          </cell>
          <cell r="H17" t="str">
            <v>EXECUÇÃO</v>
          </cell>
          <cell r="I17" t="str">
            <v>CARLOS FERNANDES</v>
          </cell>
        </row>
        <row r="18">
          <cell r="B18" t="str">
            <v>330018/000630/2021</v>
          </cell>
          <cell r="C18" t="str">
            <v>CIVIS</v>
          </cell>
          <cell r="D18">
            <v>1547</v>
          </cell>
          <cell r="E18">
            <v>44623</v>
          </cell>
          <cell r="F18">
            <v>46170</v>
          </cell>
          <cell r="G18">
            <v>65678550.130000003</v>
          </cell>
          <cell r="H18" t="str">
            <v>EXECUÇÃO</v>
          </cell>
          <cell r="I18" t="str">
            <v>JAQUELINE PASTÓRIO</v>
          </cell>
        </row>
        <row r="19">
          <cell r="B19" t="str">
            <v>330018/001041/2021</v>
          </cell>
          <cell r="C19" t="str">
            <v>CIVIS</v>
          </cell>
          <cell r="D19">
            <v>1324</v>
          </cell>
          <cell r="E19">
            <v>44753</v>
          </cell>
          <cell r="F19">
            <v>46077</v>
          </cell>
          <cell r="G19">
            <v>58032411.710000001</v>
          </cell>
          <cell r="H19" t="str">
            <v>EXECUÇÃO</v>
          </cell>
          <cell r="I19" t="str">
            <v>CARLOS FERNANDES</v>
          </cell>
        </row>
        <row r="20">
          <cell r="B20" t="str">
            <v>330018/000107/2022</v>
          </cell>
          <cell r="C20" t="str">
            <v>CIVIS</v>
          </cell>
          <cell r="D20">
            <v>1442</v>
          </cell>
          <cell r="E20">
            <v>44753</v>
          </cell>
          <cell r="F20">
            <v>46195</v>
          </cell>
          <cell r="G20">
            <v>54283415</v>
          </cell>
          <cell r="H20" t="str">
            <v>EXECUÇÃO</v>
          </cell>
          <cell r="I20" t="str">
            <v>CARLOS FERNANDES</v>
          </cell>
        </row>
        <row r="21">
          <cell r="B21" t="str">
            <v>330018/000530/2022</v>
          </cell>
          <cell r="C21" t="str">
            <v>CIVIS</v>
          </cell>
          <cell r="D21">
            <v>903</v>
          </cell>
          <cell r="E21">
            <v>45352</v>
          </cell>
          <cell r="F21">
            <v>46255</v>
          </cell>
          <cell r="G21">
            <v>45862409.689999998</v>
          </cell>
          <cell r="H21" t="str">
            <v>EXECUÇÃO</v>
          </cell>
          <cell r="I21" t="str">
            <v>GISELLE G. FONSECA</v>
          </cell>
        </row>
        <row r="22">
          <cell r="B22" t="str">
            <v>170026/001772/2022</v>
          </cell>
          <cell r="C22" t="str">
            <v>CIVIS</v>
          </cell>
          <cell r="D22">
            <v>995</v>
          </cell>
          <cell r="E22">
            <v>45133</v>
          </cell>
          <cell r="F22">
            <v>46128</v>
          </cell>
          <cell r="G22">
            <v>6016602.4800000004</v>
          </cell>
          <cell r="H22" t="str">
            <v>EXECUÇÃO</v>
          </cell>
          <cell r="I22" t="str">
            <v>ISADORA ROSALINO</v>
          </cell>
        </row>
        <row r="23">
          <cell r="B23" t="str">
            <v>330001/000538/2024</v>
          </cell>
          <cell r="C23" t="str">
            <v>CIVIS</v>
          </cell>
          <cell r="D23">
            <v>540</v>
          </cell>
          <cell r="E23">
            <v>45566</v>
          </cell>
          <cell r="F23">
            <v>46106</v>
          </cell>
          <cell r="G23">
            <v>51414775.090000004</v>
          </cell>
          <cell r="H23" t="str">
            <v>EXECUÇÃO</v>
          </cell>
          <cell r="I23" t="str">
            <v>JAQUELINE PASTÓRIO</v>
          </cell>
        </row>
        <row r="24">
          <cell r="B24" t="str">
            <v>460001/001990/2023</v>
          </cell>
          <cell r="C24" t="str">
            <v>CIVIS</v>
          </cell>
          <cell r="D24">
            <v>482</v>
          </cell>
          <cell r="E24">
            <v>45624</v>
          </cell>
          <cell r="F24">
            <v>46106</v>
          </cell>
          <cell r="G24">
            <v>2601911.3199999998</v>
          </cell>
          <cell r="H24" t="str">
            <v>EXECUÇÃO</v>
          </cell>
          <cell r="I24" t="str">
            <v>JEHNIFFER PIRES</v>
          </cell>
        </row>
        <row r="25">
          <cell r="B25" t="str">
            <v>330001/001680/2024</v>
          </cell>
          <cell r="C25" t="str">
            <v>CIVIS</v>
          </cell>
          <cell r="D25">
            <v>240</v>
          </cell>
          <cell r="E25">
            <v>45925</v>
          </cell>
          <cell r="F25">
            <v>46165</v>
          </cell>
          <cell r="G25">
            <v>544550.48</v>
          </cell>
          <cell r="H25" t="str">
            <v>EXECUÇÃO</v>
          </cell>
          <cell r="I25" t="str">
            <v>GISELLE G. FONSECA</v>
          </cell>
        </row>
        <row r="26">
          <cell r="B26" t="str">
            <v>330018/000529/2022</v>
          </cell>
          <cell r="C26" t="str">
            <v>CIVIS</v>
          </cell>
          <cell r="D26">
            <v>1170</v>
          </cell>
          <cell r="E26">
            <v>45035</v>
          </cell>
          <cell r="F26">
            <v>46205</v>
          </cell>
          <cell r="G26">
            <v>28459856.91</v>
          </cell>
          <cell r="H26" t="str">
            <v>EXECUÇÃO</v>
          </cell>
          <cell r="I26" t="str">
            <v>GISELLE G. FONSECA</v>
          </cell>
        </row>
        <row r="27">
          <cell r="B27" t="str">
            <v>330018/000681/2021</v>
          </cell>
          <cell r="C27" t="str">
            <v>CIVIS</v>
          </cell>
          <cell r="D27">
            <v>1450</v>
          </cell>
          <cell r="E27">
            <v>44641</v>
          </cell>
          <cell r="F27">
            <v>46091</v>
          </cell>
          <cell r="G27">
            <v>43796954.979999997</v>
          </cell>
          <cell r="H27" t="str">
            <v>EXECUÇÃO</v>
          </cell>
          <cell r="I27" t="str">
            <v>JAQUELINE PASTÓRIO</v>
          </cell>
        </row>
        <row r="28">
          <cell r="B28" t="str">
            <v>330018/000569/2021</v>
          </cell>
          <cell r="C28" t="str">
            <v>CIVIS</v>
          </cell>
          <cell r="D28">
            <v>1599</v>
          </cell>
          <cell r="E28">
            <v>44623</v>
          </cell>
          <cell r="F28">
            <v>46222</v>
          </cell>
          <cell r="G28">
            <v>45726170.25</v>
          </cell>
          <cell r="H28" t="str">
            <v>EXECUÇÃO</v>
          </cell>
          <cell r="I28" t="str">
            <v>JAQUELINE PASTÓRIO</v>
          </cell>
        </row>
        <row r="29">
          <cell r="B29" t="str">
            <v>330018/001109/2022</v>
          </cell>
          <cell r="C29" t="str">
            <v>CIVIS</v>
          </cell>
          <cell r="D29">
            <v>1174</v>
          </cell>
          <cell r="E29">
            <v>45019</v>
          </cell>
          <cell r="F29">
            <v>46193</v>
          </cell>
          <cell r="G29">
            <v>22825141.32</v>
          </cell>
          <cell r="H29" t="str">
            <v>EXECUÇÃO</v>
          </cell>
          <cell r="I29" t="str">
            <v>JAQUELINE PASTÓRIO</v>
          </cell>
        </row>
        <row r="30">
          <cell r="B30" t="str">
            <v>330018/001148/2022</v>
          </cell>
          <cell r="C30" t="str">
            <v>CIVIS</v>
          </cell>
          <cell r="D30">
            <v>963</v>
          </cell>
          <cell r="E30">
            <v>45190</v>
          </cell>
          <cell r="F30">
            <v>46153</v>
          </cell>
          <cell r="G30">
            <v>26504288.68</v>
          </cell>
          <cell r="H30" t="str">
            <v>EXECUÇÃO</v>
          </cell>
          <cell r="I30" t="str">
            <v>CARLOS FERNANDES</v>
          </cell>
        </row>
        <row r="31">
          <cell r="B31" t="str">
            <v>330018/000675/2022</v>
          </cell>
          <cell r="C31" t="str">
            <v>CIVIS</v>
          </cell>
          <cell r="D31">
            <v>1103</v>
          </cell>
          <cell r="E31">
            <v>44991</v>
          </cell>
          <cell r="F31">
            <v>46094</v>
          </cell>
          <cell r="G31">
            <v>20106028.530000001</v>
          </cell>
          <cell r="H31" t="str">
            <v>EXECUÇÃO</v>
          </cell>
          <cell r="I31" t="str">
            <v>GISELLE G. FONSECA</v>
          </cell>
        </row>
        <row r="32">
          <cell r="B32" t="str">
            <v>330018/001062/2022</v>
          </cell>
          <cell r="C32" t="str">
            <v>CIVIS</v>
          </cell>
          <cell r="D32">
            <v>1235</v>
          </cell>
          <cell r="E32">
            <v>44909</v>
          </cell>
          <cell r="F32">
            <v>46144</v>
          </cell>
          <cell r="G32">
            <v>7795660.46</v>
          </cell>
          <cell r="H32" t="str">
            <v>EXECUÇÃO</v>
          </cell>
          <cell r="I32" t="str">
            <v>JAQUELINE PASTÓRIO</v>
          </cell>
        </row>
        <row r="33">
          <cell r="B33" t="str">
            <v>170026/001548/2021</v>
          </cell>
          <cell r="C33" t="str">
            <v>CIVIS</v>
          </cell>
          <cell r="D33">
            <v>900</v>
          </cell>
          <cell r="E33">
            <v>45901</v>
          </cell>
          <cell r="F33">
            <v>46801</v>
          </cell>
          <cell r="G33">
            <v>41522873.420000002</v>
          </cell>
          <cell r="H33" t="str">
            <v>EXECUÇÃO</v>
          </cell>
          <cell r="I33" t="str">
            <v>CARLOS FERNANDES</v>
          </cell>
        </row>
        <row r="34">
          <cell r="B34" t="str">
            <v>330018/000421/2023</v>
          </cell>
          <cell r="C34" t="str">
            <v>CONTINGENCIA</v>
          </cell>
          <cell r="D34">
            <v>374</v>
          </cell>
          <cell r="E34">
            <v>45848</v>
          </cell>
          <cell r="F34">
            <v>46222</v>
          </cell>
          <cell r="G34">
            <v>7066834.9000000004</v>
          </cell>
          <cell r="H34" t="str">
            <v>EXECUÇÃO</v>
          </cell>
          <cell r="I34" t="str">
            <v>GISELLE G. FONSECA</v>
          </cell>
        </row>
        <row r="35">
          <cell r="B35" t="str">
            <v>330001/001275/2024</v>
          </cell>
          <cell r="C35" t="str">
            <v>CONTINGENCIA</v>
          </cell>
          <cell r="D35">
            <v>360</v>
          </cell>
          <cell r="E35">
            <v>45867</v>
          </cell>
          <cell r="F35">
            <v>46227</v>
          </cell>
          <cell r="G35">
            <v>10349390.52</v>
          </cell>
          <cell r="H35" t="str">
            <v>EXECUÇÃO</v>
          </cell>
          <cell r="I35" t="str">
            <v>GISELLE G. FONSECA</v>
          </cell>
        </row>
        <row r="36">
          <cell r="B36" t="str">
            <v>330001/001337/2025</v>
          </cell>
          <cell r="C36" t="str">
            <v>CONTINGENCIA</v>
          </cell>
          <cell r="D36">
            <v>240</v>
          </cell>
          <cell r="E36">
            <v>46002</v>
          </cell>
          <cell r="F36">
            <v>46242</v>
          </cell>
          <cell r="G36">
            <v>27434724</v>
          </cell>
          <cell r="H36" t="str">
            <v>EXECUÇÃO</v>
          </cell>
          <cell r="I36" t="str">
            <v>GISELLE G. FONSECA</v>
          </cell>
        </row>
        <row r="37">
          <cell r="B37" t="str">
            <v>330001/001280/2024</v>
          </cell>
          <cell r="C37" t="str">
            <v>CONTINGENCIA</v>
          </cell>
          <cell r="D37">
            <v>332</v>
          </cell>
          <cell r="E37">
            <v>45783</v>
          </cell>
          <cell r="F37">
            <v>46115</v>
          </cell>
          <cell r="G37">
            <v>763285.07</v>
          </cell>
          <cell r="H37" t="str">
            <v>EXECUÇÃO</v>
          </cell>
          <cell r="I37" t="str">
            <v>GISELLE G. FONSECA</v>
          </cell>
        </row>
        <row r="38">
          <cell r="B38" t="str">
            <v>330001/001081/2025</v>
          </cell>
          <cell r="C38" t="str">
            <v>CONTINGENCIA</v>
          </cell>
          <cell r="D38">
            <v>90</v>
          </cell>
          <cell r="E38">
            <v>45915</v>
          </cell>
          <cell r="F38">
            <v>46005</v>
          </cell>
          <cell r="G38">
            <v>256613.37</v>
          </cell>
          <cell r="H38" t="str">
            <v>EXECUÇÃO</v>
          </cell>
          <cell r="I38" t="str">
            <v>CARLOS FERNANDES</v>
          </cell>
        </row>
        <row r="39">
          <cell r="B39" t="str">
            <v>E-17/001/219/2018</v>
          </cell>
          <cell r="C39" t="str">
            <v>CONTINGENCIA</v>
          </cell>
          <cell r="D39">
            <v>180</v>
          </cell>
          <cell r="E39">
            <v>45917</v>
          </cell>
          <cell r="F39">
            <v>46097</v>
          </cell>
          <cell r="G39">
            <v>2742607.66</v>
          </cell>
          <cell r="H39" t="str">
            <v>EXECUÇÃO</v>
          </cell>
          <cell r="I39" t="str">
            <v>JEHNIFFER PIRES</v>
          </cell>
        </row>
        <row r="40">
          <cell r="B40" t="str">
            <v>170026/000277/2021</v>
          </cell>
          <cell r="C40" t="str">
            <v>ESPECIAIS</v>
          </cell>
          <cell r="D40">
            <v>1530</v>
          </cell>
          <cell r="E40">
            <v>44757</v>
          </cell>
          <cell r="F40">
            <v>46287</v>
          </cell>
          <cell r="G40">
            <v>15203482.789999999</v>
          </cell>
          <cell r="H40" t="str">
            <v>EXECUÇÃO</v>
          </cell>
          <cell r="I40" t="str">
            <v>IGOR CARNEIRO</v>
          </cell>
        </row>
        <row r="41">
          <cell r="B41" t="str">
            <v>180007/000770/2022</v>
          </cell>
          <cell r="C41" t="str">
            <v>ESPECIAIS</v>
          </cell>
          <cell r="D41">
            <v>480</v>
          </cell>
          <cell r="E41">
            <v>45723</v>
          </cell>
          <cell r="F41">
            <v>46203</v>
          </cell>
          <cell r="G41">
            <v>24187461.93</v>
          </cell>
          <cell r="H41" t="str">
            <v>EXECUÇÃO</v>
          </cell>
          <cell r="I41" t="str">
            <v>IGOR CARNEIRO</v>
          </cell>
        </row>
        <row r="42">
          <cell r="B42" t="str">
            <v>330001/000247/2025</v>
          </cell>
          <cell r="C42" t="str">
            <v>ESPECIAIS</v>
          </cell>
          <cell r="D42">
            <v>218</v>
          </cell>
          <cell r="E42">
            <v>45894</v>
          </cell>
          <cell r="F42">
            <v>46112</v>
          </cell>
          <cell r="G42">
            <v>12432476.25</v>
          </cell>
          <cell r="H42" t="str">
            <v>EXECUÇÃO</v>
          </cell>
          <cell r="I42" t="str">
            <v>ERICK HYLARIO</v>
          </cell>
        </row>
        <row r="43">
          <cell r="B43" t="str">
            <v>460001/001918/2023</v>
          </cell>
          <cell r="C43" t="str">
            <v>ESPECIAIS</v>
          </cell>
          <cell r="D43">
            <v>365</v>
          </cell>
          <cell r="E43">
            <v>45758</v>
          </cell>
          <cell r="F43">
            <v>46123</v>
          </cell>
          <cell r="G43">
            <v>12100122.6</v>
          </cell>
          <cell r="H43" t="str">
            <v>EXECUÇÃO</v>
          </cell>
          <cell r="I43" t="str">
            <v>ERICK HYLARIO</v>
          </cell>
        </row>
        <row r="44">
          <cell r="B44" t="str">
            <v>170026/000233/2022</v>
          </cell>
          <cell r="C44" t="str">
            <v>ESPECIAIS</v>
          </cell>
          <cell r="D44">
            <v>1280</v>
          </cell>
          <cell r="E44">
            <v>44726</v>
          </cell>
          <cell r="F44">
            <v>46006</v>
          </cell>
          <cell r="G44">
            <v>59148617.810000002</v>
          </cell>
          <cell r="H44" t="str">
            <v>EXECUÇÃO</v>
          </cell>
          <cell r="I44" t="str">
            <v>ERICK HYLARIO</v>
          </cell>
        </row>
        <row r="45">
          <cell r="B45" t="str">
            <v>330001/000414/2024</v>
          </cell>
          <cell r="C45" t="str">
            <v>ESPECIAIS</v>
          </cell>
          <cell r="D45">
            <v>210</v>
          </cell>
          <cell r="E45">
            <v>45897</v>
          </cell>
          <cell r="F45">
            <v>46107</v>
          </cell>
          <cell r="G45">
            <v>116500000</v>
          </cell>
          <cell r="H45" t="str">
            <v>EXECUÇÃO</v>
          </cell>
          <cell r="I45" t="str">
            <v>ERICK HYLARIO</v>
          </cell>
        </row>
        <row r="46">
          <cell r="B46" t="str">
            <v>460001/000416/2023</v>
          </cell>
          <cell r="C46" t="str">
            <v>ESPECIAIS</v>
          </cell>
          <cell r="D46">
            <v>666</v>
          </cell>
          <cell r="E46">
            <v>45391</v>
          </cell>
          <cell r="F46">
            <v>46057</v>
          </cell>
          <cell r="G46">
            <v>41651255.979999997</v>
          </cell>
          <cell r="H46" t="str">
            <v>EXECUÇÃO</v>
          </cell>
          <cell r="I46" t="str">
            <v>IGOR CARNEIRO</v>
          </cell>
        </row>
        <row r="47">
          <cell r="B47" t="str">
            <v>170026/000214/2022</v>
          </cell>
          <cell r="C47" t="str">
            <v>ESPECIAIS</v>
          </cell>
          <cell r="D47">
            <v>450</v>
          </cell>
          <cell r="E47">
            <v>45624</v>
          </cell>
          <cell r="F47">
            <v>46074</v>
          </cell>
          <cell r="G47">
            <v>104939756.55</v>
          </cell>
          <cell r="H47" t="str">
            <v>EXECUÇÃO</v>
          </cell>
          <cell r="I47" t="str">
            <v>ERICK HYLARIO</v>
          </cell>
        </row>
        <row r="48">
          <cell r="B48" t="str">
            <v>330001/000097/2024</v>
          </cell>
          <cell r="C48" t="str">
            <v>ESPECIAIS</v>
          </cell>
          <cell r="D48">
            <v>557</v>
          </cell>
          <cell r="E48">
            <v>45555</v>
          </cell>
          <cell r="F48">
            <v>46112</v>
          </cell>
          <cell r="G48">
            <v>74609626.420000002</v>
          </cell>
          <cell r="H48" t="str">
            <v>EXECUÇÃO</v>
          </cell>
          <cell r="I48" t="str">
            <v>ERICK HYLARIO</v>
          </cell>
        </row>
      </sheetData>
      <sheetData sheetId="1">
        <row r="2">
          <cell r="B2" t="str">
            <v>170026/001549/2020</v>
          </cell>
          <cell r="C2" t="str">
            <v>CIVIS</v>
          </cell>
          <cell r="D2">
            <v>210</v>
          </cell>
          <cell r="E2">
            <v>44326</v>
          </cell>
          <cell r="F2">
            <v>44536</v>
          </cell>
          <cell r="G2">
            <v>1212482.21</v>
          </cell>
          <cell r="H2" t="str">
            <v>CONCLUÍDA</v>
          </cell>
          <cell r="I2" t="str">
            <v>GISELLE G. FONSECA</v>
          </cell>
        </row>
        <row r="3">
          <cell r="B3" t="str">
            <v>330018/000424/2021</v>
          </cell>
          <cell r="C3" t="str">
            <v>CIVIS</v>
          </cell>
          <cell r="D3">
            <v>880</v>
          </cell>
          <cell r="E3">
            <v>44449</v>
          </cell>
          <cell r="F3">
            <v>45329</v>
          </cell>
          <cell r="G3">
            <v>69450000</v>
          </cell>
          <cell r="H3" t="str">
            <v>NÃO CONCLUÍDA</v>
          </cell>
        </row>
        <row r="4">
          <cell r="B4" t="str">
            <v>330018/000423/2021</v>
          </cell>
          <cell r="C4" t="str">
            <v>CIVIS</v>
          </cell>
          <cell r="D4">
            <v>880</v>
          </cell>
          <cell r="E4">
            <v>44449</v>
          </cell>
          <cell r="F4">
            <v>45329</v>
          </cell>
          <cell r="G4">
            <v>84484346.709999993</v>
          </cell>
          <cell r="H4" t="str">
            <v>NÃO CONCLUÍDA</v>
          </cell>
        </row>
        <row r="5">
          <cell r="B5" t="str">
            <v>330001/001441/2024</v>
          </cell>
          <cell r="C5" t="str">
            <v>CIVIS</v>
          </cell>
          <cell r="D5">
            <v>195</v>
          </cell>
          <cell r="E5">
            <v>45972</v>
          </cell>
          <cell r="F5">
            <v>46167</v>
          </cell>
          <cell r="G5">
            <v>2069000</v>
          </cell>
          <cell r="H5" t="str">
            <v>CONCLUÍDA</v>
          </cell>
          <cell r="I5" t="str">
            <v>CARLOS FERNANDES</v>
          </cell>
        </row>
        <row r="6">
          <cell r="B6" t="str">
            <v>170026/001229/2022</v>
          </cell>
          <cell r="C6" t="str">
            <v>CIVIS</v>
          </cell>
          <cell r="D6">
            <v>265</v>
          </cell>
          <cell r="E6">
            <v>44882</v>
          </cell>
          <cell r="F6">
            <v>45147</v>
          </cell>
          <cell r="G6">
            <v>6948720.1900000004</v>
          </cell>
          <cell r="H6" t="str">
            <v>CONCLUÍDA</v>
          </cell>
        </row>
        <row r="7">
          <cell r="B7" t="str">
            <v>170026/000549/2022</v>
          </cell>
          <cell r="C7" t="str">
            <v>CIVIS</v>
          </cell>
          <cell r="D7">
            <v>468</v>
          </cell>
          <cell r="E7">
            <v>44734</v>
          </cell>
          <cell r="F7">
            <v>45202</v>
          </cell>
          <cell r="G7">
            <v>12092480.689999999</v>
          </cell>
          <cell r="H7" t="str">
            <v>CONCLUÍDA</v>
          </cell>
        </row>
        <row r="8">
          <cell r="B8" t="str">
            <v>e-17/026/1892/2019-1</v>
          </cell>
          <cell r="C8" t="str">
            <v>CIVIS</v>
          </cell>
          <cell r="D8">
            <v>459</v>
          </cell>
          <cell r="E8">
            <v>44693</v>
          </cell>
          <cell r="F8">
            <v>45152</v>
          </cell>
          <cell r="G8">
            <v>6743574.04</v>
          </cell>
          <cell r="H8" t="str">
            <v>CONCLUÍDA</v>
          </cell>
        </row>
        <row r="9">
          <cell r="B9" t="str">
            <v>330018/000190/2022</v>
          </cell>
          <cell r="C9" t="str">
            <v>CIVIS</v>
          </cell>
          <cell r="D9">
            <v>692</v>
          </cell>
          <cell r="E9">
            <v>44868</v>
          </cell>
          <cell r="F9">
            <v>45560</v>
          </cell>
          <cell r="G9">
            <v>8396309.7599999998</v>
          </cell>
          <cell r="H9" t="str">
            <v>CONCLUÍDA</v>
          </cell>
          <cell r="I9" t="str">
            <v>GISELLE G. FONSECA</v>
          </cell>
        </row>
        <row r="10">
          <cell r="B10" t="str">
            <v>330018/000568/2021</v>
          </cell>
          <cell r="C10" t="str">
            <v>CIVIS</v>
          </cell>
          <cell r="D10">
            <v>781</v>
          </cell>
          <cell r="E10">
            <v>44707</v>
          </cell>
          <cell r="F10">
            <v>45488</v>
          </cell>
          <cell r="G10">
            <v>4374443.78</v>
          </cell>
          <cell r="H10" t="str">
            <v>CONCLUÍDA</v>
          </cell>
          <cell r="I10" t="str">
            <v>LUIZ FILHO</v>
          </cell>
        </row>
        <row r="11">
          <cell r="B11" t="str">
            <v>330018/000567/2021</v>
          </cell>
          <cell r="C11" t="str">
            <v>CIVIS</v>
          </cell>
          <cell r="D11">
            <v>1357</v>
          </cell>
          <cell r="E11">
            <v>44688</v>
          </cell>
          <cell r="F11">
            <v>46045</v>
          </cell>
          <cell r="G11">
            <v>8463890.9399999995</v>
          </cell>
          <cell r="H11" t="str">
            <v>CONCLUÍDA</v>
          </cell>
          <cell r="I11" t="str">
            <v>GISELLE G. FONSECA</v>
          </cell>
        </row>
        <row r="12">
          <cell r="B12" t="str">
            <v>330018/000697/2021</v>
          </cell>
          <cell r="C12" t="str">
            <v>CIVIS</v>
          </cell>
          <cell r="D12">
            <v>1206</v>
          </cell>
          <cell r="E12">
            <v>44683</v>
          </cell>
          <cell r="F12">
            <v>45889</v>
          </cell>
          <cell r="G12">
            <v>1741703.69</v>
          </cell>
          <cell r="H12" t="str">
            <v>CONCLUÍDA</v>
          </cell>
          <cell r="I12" t="str">
            <v>JAQUELINE PASTÓRIO</v>
          </cell>
        </row>
        <row r="13">
          <cell r="B13" t="str">
            <v>330018/000737/2022</v>
          </cell>
          <cell r="C13" t="str">
            <v>CIVIS</v>
          </cell>
          <cell r="D13">
            <v>206</v>
          </cell>
          <cell r="E13">
            <v>45360</v>
          </cell>
          <cell r="F13">
            <v>45566</v>
          </cell>
          <cell r="G13">
            <v>8811881.7799999993</v>
          </cell>
          <cell r="H13" t="str">
            <v>CONCLUÍDA</v>
          </cell>
          <cell r="I13" t="str">
            <v>CARLOS FERNANDES</v>
          </cell>
        </row>
        <row r="14">
          <cell r="B14" t="str">
            <v>170026/001178/2021</v>
          </cell>
          <cell r="C14" t="str">
            <v>CIVIS</v>
          </cell>
          <cell r="D14">
            <v>694</v>
          </cell>
          <cell r="E14">
            <v>44536</v>
          </cell>
          <cell r="F14">
            <v>45230</v>
          </cell>
          <cell r="G14">
            <v>1332580.8600000001</v>
          </cell>
          <cell r="H14" t="str">
            <v>CONCLUÍDA</v>
          </cell>
        </row>
        <row r="15">
          <cell r="B15" t="str">
            <v>330018/000931/2021</v>
          </cell>
          <cell r="C15" t="str">
            <v>CIVIS</v>
          </cell>
          <cell r="D15">
            <v>814</v>
          </cell>
          <cell r="E15">
            <v>44746</v>
          </cell>
          <cell r="F15">
            <v>45560</v>
          </cell>
          <cell r="G15">
            <v>5272095.08</v>
          </cell>
          <cell r="H15" t="str">
            <v>CONCLUÍDA</v>
          </cell>
          <cell r="I15" t="str">
            <v>CARLOS FERNANDES</v>
          </cell>
        </row>
        <row r="16">
          <cell r="B16" t="str">
            <v>330018/001037/2021</v>
          </cell>
          <cell r="C16" t="str">
            <v>CIVIS</v>
          </cell>
          <cell r="D16">
            <v>-45</v>
          </cell>
          <cell r="E16">
            <v>45061</v>
          </cell>
          <cell r="F16">
            <v>45016</v>
          </cell>
          <cell r="G16">
            <v>3607367.42</v>
          </cell>
          <cell r="H16" t="str">
            <v>CONCLUÍDA</v>
          </cell>
        </row>
        <row r="17">
          <cell r="B17" t="str">
            <v>170026/002680/2021</v>
          </cell>
          <cell r="C17" t="str">
            <v>CIVIS</v>
          </cell>
          <cell r="D17">
            <v>567</v>
          </cell>
          <cell r="E17">
            <v>44918</v>
          </cell>
          <cell r="F17">
            <v>45485</v>
          </cell>
          <cell r="G17">
            <v>4645152.25</v>
          </cell>
          <cell r="H17" t="str">
            <v>CONCLUÍDA</v>
          </cell>
          <cell r="I17" t="str">
            <v>GISELLE G. FONSECA</v>
          </cell>
        </row>
        <row r="18">
          <cell r="B18" t="str">
            <v>330018/000732/2021</v>
          </cell>
          <cell r="C18" t="str">
            <v>CIVIS</v>
          </cell>
          <cell r="D18">
            <v>844</v>
          </cell>
          <cell r="E18">
            <v>44663</v>
          </cell>
          <cell r="F18">
            <v>45507</v>
          </cell>
          <cell r="G18">
            <v>11046611.98</v>
          </cell>
          <cell r="H18" t="str">
            <v>CONCLUÍDA</v>
          </cell>
          <cell r="I18" t="str">
            <v>LUIZ FILHO</v>
          </cell>
        </row>
        <row r="19">
          <cell r="B19" t="str">
            <v>170026/001763/2021</v>
          </cell>
          <cell r="C19" t="str">
            <v>CIVIS</v>
          </cell>
          <cell r="D19">
            <v>957</v>
          </cell>
          <cell r="E19">
            <v>44610</v>
          </cell>
          <cell r="F19">
            <v>45567</v>
          </cell>
          <cell r="G19">
            <v>1305890.95</v>
          </cell>
          <cell r="H19" t="str">
            <v>NÃO CONCLUÍDA</v>
          </cell>
        </row>
        <row r="20">
          <cell r="B20" t="str">
            <v>330018/000052/2022</v>
          </cell>
          <cell r="C20" t="str">
            <v>CIVIS</v>
          </cell>
          <cell r="D20">
            <v>752</v>
          </cell>
          <cell r="E20">
            <v>44753</v>
          </cell>
          <cell r="F20">
            <v>45505</v>
          </cell>
          <cell r="G20">
            <v>30334596.91</v>
          </cell>
          <cell r="H20" t="str">
            <v>NÃO CONCLUÍDA</v>
          </cell>
          <cell r="I20" t="str">
            <v>CARLOS FERNANDES</v>
          </cell>
        </row>
        <row r="21">
          <cell r="B21" t="str">
            <v>330018/001070/2021</v>
          </cell>
          <cell r="C21" t="str">
            <v>CIVIS</v>
          </cell>
          <cell r="D21">
            <v>572</v>
          </cell>
          <cell r="E21">
            <v>45261</v>
          </cell>
          <cell r="F21">
            <v>45833</v>
          </cell>
          <cell r="G21">
            <v>10061005.41</v>
          </cell>
          <cell r="H21" t="str">
            <v>CONCLUÍDA</v>
          </cell>
          <cell r="I21" t="str">
            <v>GISELLE G. FONSECA</v>
          </cell>
        </row>
        <row r="22">
          <cell r="B22" t="str">
            <v>330018/000619/2021</v>
          </cell>
          <cell r="C22" t="str">
            <v>CIVIS</v>
          </cell>
          <cell r="D22">
            <v>1275</v>
          </cell>
          <cell r="E22">
            <v>44697</v>
          </cell>
          <cell r="F22">
            <v>45972</v>
          </cell>
          <cell r="G22">
            <v>32464769.579999998</v>
          </cell>
          <cell r="H22" t="str">
            <v>CONCLUÍDA</v>
          </cell>
          <cell r="I22" t="str">
            <v>ISADORA ROSALINO</v>
          </cell>
        </row>
        <row r="23">
          <cell r="B23" t="str">
            <v>330018/000425/2022</v>
          </cell>
          <cell r="C23" t="str">
            <v>CIVIS</v>
          </cell>
          <cell r="D23">
            <v>934</v>
          </cell>
          <cell r="E23">
            <v>44994</v>
          </cell>
          <cell r="F23">
            <v>45928</v>
          </cell>
          <cell r="G23">
            <v>17695067.23</v>
          </cell>
          <cell r="H23" t="str">
            <v>CONCLUÍDA</v>
          </cell>
          <cell r="I23" t="str">
            <v>GISELLE G. FONSECA</v>
          </cell>
        </row>
        <row r="24">
          <cell r="B24" t="str">
            <v>170026/002128/2021</v>
          </cell>
          <cell r="C24" t="str">
            <v>CIVIS</v>
          </cell>
          <cell r="D24">
            <v>598</v>
          </cell>
          <cell r="E24">
            <v>44743</v>
          </cell>
          <cell r="F24">
            <v>45341</v>
          </cell>
          <cell r="G24">
            <v>4808707.09</v>
          </cell>
          <cell r="H24" t="str">
            <v>CONCLUÍDA</v>
          </cell>
        </row>
        <row r="25">
          <cell r="B25" t="str">
            <v>170026/000539/2022</v>
          </cell>
          <cell r="C25" t="str">
            <v>CIVIS</v>
          </cell>
          <cell r="D25">
            <v>406</v>
          </cell>
          <cell r="E25">
            <v>44767</v>
          </cell>
          <cell r="F25">
            <v>45173</v>
          </cell>
          <cell r="G25">
            <v>68148567.140000001</v>
          </cell>
          <cell r="H25" t="str">
            <v>CONCLUÍDA</v>
          </cell>
        </row>
        <row r="26">
          <cell r="B26" t="str">
            <v>330018/000227/2022</v>
          </cell>
          <cell r="C26" t="str">
            <v>CIVIS</v>
          </cell>
          <cell r="D26">
            <v>300</v>
          </cell>
          <cell r="E26">
            <v>44887</v>
          </cell>
          <cell r="F26">
            <v>45187</v>
          </cell>
          <cell r="G26">
            <v>47996411.380000003</v>
          </cell>
          <cell r="H26" t="str">
            <v>NÃO CONCLUÍDA</v>
          </cell>
          <cell r="I26" t="str">
            <v>CARLOS FERNANDES</v>
          </cell>
        </row>
        <row r="27">
          <cell r="B27" t="str">
            <v>330018/001303/2022</v>
          </cell>
          <cell r="C27" t="str">
            <v>CIVIS</v>
          </cell>
          <cell r="D27">
            <v>754</v>
          </cell>
          <cell r="E27">
            <v>45247</v>
          </cell>
          <cell r="F27">
            <v>46001</v>
          </cell>
          <cell r="G27">
            <v>19451386.879999999</v>
          </cell>
          <cell r="H27" t="str">
            <v>CONCLUÍDA</v>
          </cell>
          <cell r="I27" t="str">
            <v>CARLOS FERNANDES</v>
          </cell>
        </row>
        <row r="28">
          <cell r="B28" t="str">
            <v>170026/000538/2022</v>
          </cell>
          <cell r="C28" t="str">
            <v>CIVIS</v>
          </cell>
          <cell r="D28">
            <v>714</v>
          </cell>
          <cell r="E28">
            <v>44826</v>
          </cell>
          <cell r="F28">
            <v>45540</v>
          </cell>
          <cell r="G28">
            <v>30543662.309999999</v>
          </cell>
          <cell r="H28" t="str">
            <v>CONCLUÍDA</v>
          </cell>
          <cell r="I28" t="str">
            <v>CARLOS FERNANDES</v>
          </cell>
        </row>
        <row r="29">
          <cell r="B29" t="str">
            <v>170026/001072/2022</v>
          </cell>
          <cell r="C29" t="str">
            <v>CIVIS</v>
          </cell>
          <cell r="D29">
            <v>180</v>
          </cell>
          <cell r="E29">
            <v>44753</v>
          </cell>
          <cell r="F29">
            <v>44933</v>
          </cell>
          <cell r="G29">
            <v>5978542.1500000004</v>
          </cell>
          <cell r="H29" t="str">
            <v>CONCLUÍDA</v>
          </cell>
        </row>
        <row r="30">
          <cell r="B30" t="str">
            <v>330018/000235/2020</v>
          </cell>
          <cell r="C30" t="str">
            <v>CIVIS</v>
          </cell>
          <cell r="G30">
            <v>11620104.779999999</v>
          </cell>
          <cell r="H30" t="str">
            <v>NÃO CONCLUÍDA</v>
          </cell>
        </row>
        <row r="31">
          <cell r="B31" t="str">
            <v>330018/000480/2022</v>
          </cell>
          <cell r="C31" t="str">
            <v>CIVIS</v>
          </cell>
          <cell r="D31">
            <v>421</v>
          </cell>
          <cell r="E31">
            <v>45155</v>
          </cell>
          <cell r="F31">
            <v>45576</v>
          </cell>
          <cell r="G31">
            <v>4444784.22</v>
          </cell>
          <cell r="H31" t="str">
            <v>CONCLUÍDA</v>
          </cell>
          <cell r="I31" t="str">
            <v>CARLOS FERNANDES</v>
          </cell>
        </row>
        <row r="32">
          <cell r="B32" t="str">
            <v>170026/002017/2021</v>
          </cell>
          <cell r="C32" t="str">
            <v>CIVIS</v>
          </cell>
          <cell r="D32">
            <v>997</v>
          </cell>
          <cell r="E32">
            <v>45026</v>
          </cell>
          <cell r="F32">
            <v>46023</v>
          </cell>
          <cell r="G32">
            <v>2755604.93</v>
          </cell>
          <cell r="H32" t="str">
            <v>CONCLUÍDA</v>
          </cell>
          <cell r="I32" t="str">
            <v>JAQUELINE PASTÓRIO</v>
          </cell>
        </row>
        <row r="33">
          <cell r="B33" t="str">
            <v>170026/002018/2021</v>
          </cell>
          <cell r="C33" t="str">
            <v>CIVIS</v>
          </cell>
          <cell r="D33">
            <v>-117</v>
          </cell>
          <cell r="E33">
            <v>44823</v>
          </cell>
          <cell r="F33">
            <v>44706</v>
          </cell>
          <cell r="G33">
            <v>1712576.84</v>
          </cell>
          <cell r="H33" t="str">
            <v>NÃO CONCLUÍDA</v>
          </cell>
        </row>
        <row r="34">
          <cell r="B34" t="str">
            <v>170026/000230/2022</v>
          </cell>
          <cell r="C34" t="str">
            <v>CIVIS</v>
          </cell>
          <cell r="D34">
            <v>788</v>
          </cell>
          <cell r="E34">
            <v>44831</v>
          </cell>
          <cell r="F34">
            <v>45619</v>
          </cell>
          <cell r="G34">
            <v>58086688.759999998</v>
          </cell>
          <cell r="H34" t="str">
            <v>CONCLUÍDA</v>
          </cell>
          <cell r="I34" t="str">
            <v>CARLOS FERNANDES</v>
          </cell>
        </row>
        <row r="35">
          <cell r="B35" t="str">
            <v>170026/001231/2022</v>
          </cell>
          <cell r="C35" t="str">
            <v>CIVIS</v>
          </cell>
          <cell r="G35">
            <v>18996888.260000002</v>
          </cell>
          <cell r="H35" t="str">
            <v>NÃO CONCLUÍDA</v>
          </cell>
        </row>
        <row r="36">
          <cell r="B36" t="str">
            <v>170026/000548/2022</v>
          </cell>
          <cell r="C36" t="str">
            <v>CIVIS</v>
          </cell>
          <cell r="D36">
            <v>364</v>
          </cell>
          <cell r="E36">
            <v>44734</v>
          </cell>
          <cell r="F36">
            <v>45098</v>
          </cell>
          <cell r="G36">
            <v>11942741.09</v>
          </cell>
          <cell r="H36" t="str">
            <v>CONCLUÍDA</v>
          </cell>
        </row>
        <row r="37">
          <cell r="B37" t="str">
            <v>170026/000537/2022</v>
          </cell>
          <cell r="C37" t="str">
            <v>CIVIS</v>
          </cell>
          <cell r="D37">
            <v>405</v>
          </cell>
          <cell r="E37">
            <v>44769</v>
          </cell>
          <cell r="F37">
            <v>45174</v>
          </cell>
          <cell r="G37">
            <v>54913544.950000003</v>
          </cell>
          <cell r="H37" t="str">
            <v>CONCLUÍDA</v>
          </cell>
        </row>
        <row r="38">
          <cell r="B38" t="str">
            <v>e-17/026/1892/2019-2</v>
          </cell>
          <cell r="C38" t="str">
            <v>CIVIS</v>
          </cell>
          <cell r="D38">
            <v>763</v>
          </cell>
          <cell r="E38">
            <v>44693</v>
          </cell>
          <cell r="F38">
            <v>45456</v>
          </cell>
          <cell r="G38">
            <v>2389346</v>
          </cell>
          <cell r="H38" t="str">
            <v>CONCLUÍDA</v>
          </cell>
        </row>
        <row r="39">
          <cell r="B39" t="str">
            <v>330018/000066/2022</v>
          </cell>
          <cell r="C39" t="str">
            <v>CIVIS</v>
          </cell>
          <cell r="D39">
            <v>612</v>
          </cell>
          <cell r="E39">
            <v>44873</v>
          </cell>
          <cell r="F39">
            <v>45485</v>
          </cell>
          <cell r="G39">
            <v>9751616.3699999992</v>
          </cell>
          <cell r="H39" t="str">
            <v>CONCLUÍDA</v>
          </cell>
          <cell r="I39" t="str">
            <v>LUIZ FILHO</v>
          </cell>
        </row>
        <row r="40">
          <cell r="B40" t="str">
            <v>330018/000244/2022</v>
          </cell>
          <cell r="C40" t="str">
            <v>CIVIS</v>
          </cell>
          <cell r="D40">
            <v>644</v>
          </cell>
          <cell r="E40">
            <v>44767</v>
          </cell>
          <cell r="F40">
            <v>45411</v>
          </cell>
          <cell r="G40">
            <v>13792679.789999999</v>
          </cell>
          <cell r="H40" t="str">
            <v>CONCLUÍDA</v>
          </cell>
          <cell r="I40" t="str">
            <v>ISADORA ROSALINO</v>
          </cell>
        </row>
        <row r="41">
          <cell r="B41" t="str">
            <v>330018/001380/2022</v>
          </cell>
          <cell r="C41" t="str">
            <v>CIVIS</v>
          </cell>
          <cell r="D41">
            <v>812</v>
          </cell>
          <cell r="E41">
            <v>45286</v>
          </cell>
          <cell r="F41">
            <v>46098</v>
          </cell>
          <cell r="G41">
            <v>7704834.9100000001</v>
          </cell>
          <cell r="H41" t="str">
            <v>CONCLUÍDA</v>
          </cell>
          <cell r="I41" t="str">
            <v>ISADORA ROSALINO</v>
          </cell>
        </row>
        <row r="42">
          <cell r="B42" t="str">
            <v>170026/000545/2022</v>
          </cell>
          <cell r="C42" t="str">
            <v>CIVIS</v>
          </cell>
          <cell r="D42">
            <v>405</v>
          </cell>
          <cell r="E42">
            <v>44709</v>
          </cell>
          <cell r="F42">
            <v>45114</v>
          </cell>
          <cell r="G42">
            <v>80552394.920000002</v>
          </cell>
          <cell r="H42" t="str">
            <v>CONCLUÍDA</v>
          </cell>
        </row>
        <row r="43">
          <cell r="B43" t="str">
            <v>170026/000379/2022</v>
          </cell>
          <cell r="C43" t="str">
            <v>CIVIS</v>
          </cell>
          <cell r="D43">
            <v>441</v>
          </cell>
          <cell r="E43">
            <v>44760</v>
          </cell>
          <cell r="F43">
            <v>45201</v>
          </cell>
          <cell r="G43">
            <v>6453162.7199999997</v>
          </cell>
          <cell r="H43" t="str">
            <v>CONCLUÍDA</v>
          </cell>
        </row>
        <row r="44">
          <cell r="B44" t="str">
            <v>170026/001848/2022</v>
          </cell>
          <cell r="C44" t="str">
            <v>CIVIS</v>
          </cell>
          <cell r="D44">
            <v>401</v>
          </cell>
          <cell r="E44">
            <v>44807</v>
          </cell>
          <cell r="F44">
            <v>45208</v>
          </cell>
          <cell r="G44">
            <v>37535912.649999999</v>
          </cell>
          <cell r="H44" t="str">
            <v>CONCLUÍDA</v>
          </cell>
        </row>
        <row r="45">
          <cell r="B45" t="str">
            <v>170026/001611/2020</v>
          </cell>
          <cell r="C45" t="str">
            <v>CIVIS</v>
          </cell>
          <cell r="D45">
            <v>850</v>
          </cell>
          <cell r="E45">
            <v>44536</v>
          </cell>
          <cell r="F45">
            <v>45386</v>
          </cell>
          <cell r="G45">
            <v>3107538.75</v>
          </cell>
          <cell r="H45" t="str">
            <v>CONCLUÍDA</v>
          </cell>
          <cell r="I45" t="str">
            <v>GISELLE G. FONSECA</v>
          </cell>
        </row>
        <row r="46">
          <cell r="B46" t="str">
            <v>330018/000333/2022</v>
          </cell>
          <cell r="C46" t="str">
            <v>CIVIS</v>
          </cell>
          <cell r="D46">
            <v>664</v>
          </cell>
          <cell r="E46">
            <v>45105</v>
          </cell>
          <cell r="F46">
            <v>45769</v>
          </cell>
          <cell r="G46">
            <v>51359899.57</v>
          </cell>
          <cell r="H46" t="str">
            <v>NÃO CONCLUÍDA</v>
          </cell>
          <cell r="I46" t="str">
            <v>CARLOS FERNANDES</v>
          </cell>
        </row>
        <row r="47">
          <cell r="B47" t="str">
            <v>170026/000772/2022</v>
          </cell>
          <cell r="C47" t="str">
            <v>CIVIS</v>
          </cell>
          <cell r="D47">
            <v>608</v>
          </cell>
          <cell r="E47">
            <v>44923</v>
          </cell>
          <cell r="F47">
            <v>45531</v>
          </cell>
          <cell r="G47">
            <v>13242425.640000001</v>
          </cell>
          <cell r="H47" t="str">
            <v>CONCLUÍDA</v>
          </cell>
          <cell r="I47" t="str">
            <v>CARLOS FERNANDES</v>
          </cell>
        </row>
        <row r="48">
          <cell r="B48" t="str">
            <v>330001/000715/2024</v>
          </cell>
          <cell r="C48" t="str">
            <v>CIVIS</v>
          </cell>
          <cell r="D48">
            <v>574</v>
          </cell>
          <cell r="E48">
            <v>45425</v>
          </cell>
          <cell r="F48">
            <v>45999</v>
          </cell>
          <cell r="G48">
            <v>7234583.7699999996</v>
          </cell>
          <cell r="H48" t="str">
            <v>CONCLUÍDA</v>
          </cell>
          <cell r="I48" t="str">
            <v>JAQUELINE PASTÓRIO</v>
          </cell>
        </row>
        <row r="49">
          <cell r="B49" t="str">
            <v>170026/000122/2022</v>
          </cell>
          <cell r="C49" t="str">
            <v>CIVIS</v>
          </cell>
          <cell r="D49">
            <v>646</v>
          </cell>
          <cell r="E49">
            <v>44831</v>
          </cell>
          <cell r="F49">
            <v>45477</v>
          </cell>
          <cell r="G49">
            <v>12560309.119999999</v>
          </cell>
          <cell r="H49" t="str">
            <v>CONCLUÍDA</v>
          </cell>
          <cell r="I49" t="str">
            <v>GISELLE G. FONSECA</v>
          </cell>
        </row>
        <row r="50">
          <cell r="B50" t="str">
            <v>330018/001015/2022</v>
          </cell>
          <cell r="C50" t="str">
            <v>CIVIS</v>
          </cell>
          <cell r="D50">
            <v>633</v>
          </cell>
          <cell r="E50">
            <v>44827</v>
          </cell>
          <cell r="F50">
            <v>45460</v>
          </cell>
          <cell r="G50">
            <v>22472818</v>
          </cell>
          <cell r="H50" t="str">
            <v>CONCLUÍDA</v>
          </cell>
          <cell r="I50" t="str">
            <v>GISELLE G. FONSECA</v>
          </cell>
        </row>
        <row r="51">
          <cell r="B51" t="str">
            <v>330018/001076/2021</v>
          </cell>
          <cell r="C51" t="str">
            <v>CIVIS</v>
          </cell>
          <cell r="D51">
            <v>932</v>
          </cell>
          <cell r="E51">
            <v>44769</v>
          </cell>
          <cell r="F51">
            <v>45701</v>
          </cell>
          <cell r="G51">
            <v>45237596.810000002</v>
          </cell>
          <cell r="H51" t="str">
            <v>CONCLUÍDA</v>
          </cell>
          <cell r="I51" t="str">
            <v>GISELLE G. FONSECA</v>
          </cell>
        </row>
        <row r="52">
          <cell r="B52" t="str">
            <v>330018/001071/2021</v>
          </cell>
          <cell r="C52" t="str">
            <v>CIVIS</v>
          </cell>
          <cell r="D52">
            <v>231</v>
          </cell>
          <cell r="E52">
            <v>44753</v>
          </cell>
          <cell r="F52">
            <v>44984</v>
          </cell>
          <cell r="G52">
            <v>12679339.18</v>
          </cell>
          <cell r="H52" t="str">
            <v>NÃO CONCLUÍDA</v>
          </cell>
        </row>
        <row r="53">
          <cell r="B53" t="str">
            <v>E-17/001/2008/2014</v>
          </cell>
          <cell r="C53" t="str">
            <v>CIVIS</v>
          </cell>
          <cell r="D53">
            <v>931</v>
          </cell>
          <cell r="E53">
            <v>44690</v>
          </cell>
          <cell r="F53">
            <v>45621</v>
          </cell>
          <cell r="G53">
            <v>34508101.149999999</v>
          </cell>
          <cell r="H53" t="str">
            <v>CONCLUÍDA</v>
          </cell>
          <cell r="I53" t="str">
            <v>CARLOS FERNANDES</v>
          </cell>
        </row>
        <row r="54">
          <cell r="B54" t="str">
            <v>330018/001315/2022</v>
          </cell>
          <cell r="C54" t="str">
            <v>CIVIS</v>
          </cell>
          <cell r="D54">
            <v>601</v>
          </cell>
          <cell r="E54">
            <v>45105</v>
          </cell>
          <cell r="F54">
            <v>45706</v>
          </cell>
          <cell r="G54">
            <v>11494433.26</v>
          </cell>
          <cell r="H54" t="str">
            <v>NÃO CONCLUÍDA</v>
          </cell>
          <cell r="I54" t="str">
            <v>GISELLE G. FONSECA</v>
          </cell>
        </row>
        <row r="55">
          <cell r="B55" t="str">
            <v>330018/001054/2021</v>
          </cell>
          <cell r="C55" t="str">
            <v>CIVIS</v>
          </cell>
          <cell r="D55">
            <v>812</v>
          </cell>
          <cell r="E55">
            <v>44754</v>
          </cell>
          <cell r="F55">
            <v>45566</v>
          </cell>
          <cell r="G55">
            <v>20185137.809999999</v>
          </cell>
          <cell r="H55" t="str">
            <v>CONCLUÍDA</v>
          </cell>
          <cell r="I55" t="str">
            <v>CARLOS FERNANDES</v>
          </cell>
        </row>
        <row r="56">
          <cell r="B56" t="str">
            <v>170026/002777/2021</v>
          </cell>
          <cell r="C56" t="str">
            <v>CIVIS</v>
          </cell>
          <cell r="D56">
            <v>729</v>
          </cell>
          <cell r="E56">
            <v>44708</v>
          </cell>
          <cell r="F56">
            <v>45437</v>
          </cell>
          <cell r="G56">
            <v>30477728.43</v>
          </cell>
          <cell r="H56" t="str">
            <v>NÃO CONCLUÍDA</v>
          </cell>
          <cell r="I56" t="str">
            <v>GISELLE G. FONSECA</v>
          </cell>
        </row>
        <row r="57">
          <cell r="B57" t="str">
            <v>170026/001641/2021</v>
          </cell>
          <cell r="C57" t="str">
            <v>CIVIS</v>
          </cell>
          <cell r="D57">
            <v>863</v>
          </cell>
          <cell r="E57">
            <v>44827</v>
          </cell>
          <cell r="F57">
            <v>45690</v>
          </cell>
          <cell r="G57">
            <v>6478069.4299999997</v>
          </cell>
          <cell r="H57" t="str">
            <v>CONCLUÍDA</v>
          </cell>
          <cell r="I57" t="str">
            <v>GISELLE G. FONSECA</v>
          </cell>
        </row>
        <row r="58">
          <cell r="B58" t="str">
            <v>170026/001792/2021</v>
          </cell>
          <cell r="C58" t="str">
            <v>CIVIS</v>
          </cell>
          <cell r="D58">
            <v>360</v>
          </cell>
          <cell r="E58">
            <v>44715</v>
          </cell>
          <cell r="F58">
            <v>45075</v>
          </cell>
          <cell r="G58">
            <v>6055289.3399999999</v>
          </cell>
          <cell r="H58" t="str">
            <v>CONCLUÍDA</v>
          </cell>
          <cell r="I58" t="str">
            <v>ISADORA ROSALINO</v>
          </cell>
        </row>
        <row r="59">
          <cell r="B59" t="str">
            <v>170026/002217/2021</v>
          </cell>
          <cell r="C59" t="str">
            <v>CIVIS</v>
          </cell>
          <cell r="D59">
            <v>762</v>
          </cell>
          <cell r="E59">
            <v>44727</v>
          </cell>
          <cell r="F59">
            <v>45489</v>
          </cell>
          <cell r="G59">
            <v>5722613.8700000001</v>
          </cell>
          <cell r="H59" t="str">
            <v>CONCLUÍDA</v>
          </cell>
          <cell r="I59" t="str">
            <v>CARLOS FERNANDES</v>
          </cell>
        </row>
        <row r="60">
          <cell r="B60" t="str">
            <v>170026/003250/2021</v>
          </cell>
          <cell r="C60" t="str">
            <v>CIVIS</v>
          </cell>
          <cell r="D60">
            <v>571</v>
          </cell>
          <cell r="E60">
            <v>44777</v>
          </cell>
          <cell r="F60">
            <v>45348</v>
          </cell>
          <cell r="G60">
            <v>5581731.2999999998</v>
          </cell>
          <cell r="H60" t="str">
            <v>CONCLUÍDA</v>
          </cell>
          <cell r="I60" t="str">
            <v>CARLOS FERNANDES</v>
          </cell>
        </row>
        <row r="61">
          <cell r="B61" t="str">
            <v>330018/000930/2021</v>
          </cell>
          <cell r="C61" t="str">
            <v>CIVIS</v>
          </cell>
          <cell r="D61">
            <v>690</v>
          </cell>
          <cell r="E61">
            <v>44708</v>
          </cell>
          <cell r="F61">
            <v>45398</v>
          </cell>
          <cell r="G61">
            <v>13208831.359999999</v>
          </cell>
          <cell r="H61" t="str">
            <v>CONCLUÍDA</v>
          </cell>
          <cell r="I61" t="str">
            <v>GISELLE G. FONSECA</v>
          </cell>
        </row>
        <row r="62">
          <cell r="B62" t="str">
            <v>460001/000821/2023</v>
          </cell>
          <cell r="C62" t="str">
            <v>CIVIS</v>
          </cell>
          <cell r="D62">
            <v>540</v>
          </cell>
          <cell r="E62">
            <v>45498</v>
          </cell>
          <cell r="F62">
            <v>46038</v>
          </cell>
          <cell r="G62">
            <v>113557951.65000001</v>
          </cell>
          <cell r="H62" t="str">
            <v>CONCLUÍDA</v>
          </cell>
          <cell r="I62" t="str">
            <v>CARLOS FERNANDES</v>
          </cell>
        </row>
        <row r="63">
          <cell r="B63" t="str">
            <v>170026/000318/2022</v>
          </cell>
          <cell r="C63" t="str">
            <v>CIVIS</v>
          </cell>
          <cell r="D63">
            <v>1477</v>
          </cell>
          <cell r="E63">
            <v>44742</v>
          </cell>
          <cell r="F63">
            <v>46219</v>
          </cell>
          <cell r="G63">
            <v>12950372.720000001</v>
          </cell>
          <cell r="H63" t="str">
            <v>CONCLUÍDA</v>
          </cell>
          <cell r="I63" t="str">
            <v>GISELLE G. FONSECA</v>
          </cell>
        </row>
        <row r="64">
          <cell r="B64" t="str">
            <v>330018/001141/2022</v>
          </cell>
          <cell r="C64" t="str">
            <v>CIVIS</v>
          </cell>
          <cell r="D64">
            <v>844</v>
          </cell>
          <cell r="E64">
            <v>45007</v>
          </cell>
          <cell r="F64">
            <v>45851</v>
          </cell>
          <cell r="G64">
            <v>20859068.440000001</v>
          </cell>
          <cell r="H64" t="str">
            <v>CONCLUÍDA</v>
          </cell>
          <cell r="I64" t="str">
            <v>GISELLE G. FONSECA</v>
          </cell>
        </row>
        <row r="65">
          <cell r="B65" t="str">
            <v>330018/000843/2021</v>
          </cell>
          <cell r="C65" t="str">
            <v>CIVIS</v>
          </cell>
          <cell r="D65">
            <v>1230</v>
          </cell>
          <cell r="E65">
            <v>44792</v>
          </cell>
          <cell r="F65">
            <v>46022</v>
          </cell>
          <cell r="G65">
            <v>81950979.230000004</v>
          </cell>
          <cell r="H65" t="str">
            <v>CONCLUÍDA</v>
          </cell>
          <cell r="I65" t="str">
            <v>GISELLE G. FONSECA</v>
          </cell>
        </row>
        <row r="66">
          <cell r="B66" t="str">
            <v>330018/000221/2022</v>
          </cell>
          <cell r="C66" t="str">
            <v>CIVIS</v>
          </cell>
          <cell r="D66">
            <v>573</v>
          </cell>
          <cell r="E66">
            <v>44707</v>
          </cell>
          <cell r="F66">
            <v>45280</v>
          </cell>
          <cell r="G66">
            <v>8973983.8699999992</v>
          </cell>
          <cell r="H66" t="str">
            <v>NÃO CONCLUÍDA</v>
          </cell>
        </row>
        <row r="67">
          <cell r="B67" t="str">
            <v>330018/001108/2022</v>
          </cell>
          <cell r="C67" t="str">
            <v>CIVIS</v>
          </cell>
          <cell r="D67">
            <v>336</v>
          </cell>
          <cell r="E67">
            <v>44903</v>
          </cell>
          <cell r="F67">
            <v>45239</v>
          </cell>
          <cell r="G67">
            <v>11928823.02</v>
          </cell>
          <cell r="H67" t="str">
            <v>NÃO CONCLUÍDA</v>
          </cell>
        </row>
        <row r="68">
          <cell r="B68" t="str">
            <v>330018/001087/2021</v>
          </cell>
          <cell r="C68" t="str">
            <v>CIVIS</v>
          </cell>
          <cell r="D68">
            <v>1220</v>
          </cell>
          <cell r="E68">
            <v>44733</v>
          </cell>
          <cell r="F68">
            <v>45953</v>
          </cell>
          <cell r="G68">
            <v>11551184.439999999</v>
          </cell>
          <cell r="H68" t="str">
            <v>CONCLUÍDA</v>
          </cell>
          <cell r="I68" t="str">
            <v>GISELLE G. FONSECA</v>
          </cell>
        </row>
        <row r="69">
          <cell r="B69" t="str">
            <v>330018/000156/2022</v>
          </cell>
          <cell r="C69" t="str">
            <v>CIVIS</v>
          </cell>
          <cell r="D69">
            <v>1236</v>
          </cell>
          <cell r="E69">
            <v>44763</v>
          </cell>
          <cell r="F69">
            <v>45999</v>
          </cell>
          <cell r="G69">
            <v>44149151.5</v>
          </cell>
          <cell r="H69" t="str">
            <v>CONCLUÍDA</v>
          </cell>
          <cell r="I69" t="str">
            <v>JEHNIFFER PIRES</v>
          </cell>
        </row>
        <row r="70">
          <cell r="B70" t="str">
            <v>330018/000580/2022</v>
          </cell>
          <cell r="C70" t="str">
            <v>CIVIS</v>
          </cell>
          <cell r="D70">
            <v>-74</v>
          </cell>
          <cell r="E70">
            <v>45195</v>
          </cell>
          <cell r="F70">
            <v>45121</v>
          </cell>
          <cell r="G70">
            <v>1498793.43</v>
          </cell>
          <cell r="H70" t="str">
            <v>CONCLUÍDA</v>
          </cell>
        </row>
        <row r="71">
          <cell r="B71" t="str">
            <v>170026/002043/2021</v>
          </cell>
          <cell r="C71" t="str">
            <v>CIVIS</v>
          </cell>
          <cell r="D71">
            <v>721</v>
          </cell>
          <cell r="E71">
            <v>44789</v>
          </cell>
          <cell r="F71">
            <v>45510</v>
          </cell>
          <cell r="G71">
            <v>89008310.650000006</v>
          </cell>
          <cell r="H71" t="str">
            <v>NÃO CONCLUÍDA</v>
          </cell>
          <cell r="I71" t="str">
            <v>JEHNIFFER PIRES</v>
          </cell>
        </row>
        <row r="72">
          <cell r="B72" t="str">
            <v>330018/000559/2022</v>
          </cell>
          <cell r="C72" t="str">
            <v>CIVIS</v>
          </cell>
          <cell r="D72">
            <v>180</v>
          </cell>
          <cell r="E72">
            <v>44816</v>
          </cell>
          <cell r="F72">
            <v>44996</v>
          </cell>
          <cell r="G72">
            <v>8995898.0500000007</v>
          </cell>
          <cell r="H72" t="str">
            <v>NÃO CONCLUÍDA</v>
          </cell>
        </row>
        <row r="73">
          <cell r="B73" t="str">
            <v>170026/001908/2021</v>
          </cell>
          <cell r="C73" t="str">
            <v>CIVIS</v>
          </cell>
          <cell r="D73">
            <v>1001</v>
          </cell>
          <cell r="E73">
            <v>44722</v>
          </cell>
          <cell r="F73">
            <v>45723</v>
          </cell>
          <cell r="G73">
            <v>18264452.890000001</v>
          </cell>
          <cell r="H73" t="str">
            <v>CONCLUÍDA</v>
          </cell>
          <cell r="I73" t="str">
            <v>JAQUELINE PASTÓRIO</v>
          </cell>
        </row>
        <row r="74">
          <cell r="B74" t="str">
            <v>330018/001363/2022</v>
          </cell>
          <cell r="C74" t="str">
            <v>CIVIS</v>
          </cell>
          <cell r="D74">
            <v>603</v>
          </cell>
          <cell r="E74">
            <v>44986</v>
          </cell>
          <cell r="F74">
            <v>45589</v>
          </cell>
          <cell r="G74">
            <v>90986818.170000002</v>
          </cell>
          <cell r="H74" t="str">
            <v>CONCLUÍDA</v>
          </cell>
          <cell r="I74" t="str">
            <v>GISELLE G. FONSECA</v>
          </cell>
        </row>
        <row r="75">
          <cell r="B75" t="str">
            <v>330018/000711/2021</v>
          </cell>
          <cell r="C75" t="str">
            <v>CIVIS</v>
          </cell>
          <cell r="D75">
            <v>850</v>
          </cell>
          <cell r="E75">
            <v>44648</v>
          </cell>
          <cell r="F75">
            <v>45498</v>
          </cell>
          <cell r="G75">
            <v>36880209</v>
          </cell>
          <cell r="H75" t="str">
            <v>CONCLUÍDA</v>
          </cell>
          <cell r="I75" t="str">
            <v>CARLOS FERNANDES</v>
          </cell>
        </row>
        <row r="76">
          <cell r="B76" t="str">
            <v>330018/000730/2021</v>
          </cell>
          <cell r="C76" t="str">
            <v>CIVIS</v>
          </cell>
          <cell r="D76">
            <v>1086</v>
          </cell>
          <cell r="E76">
            <v>44697</v>
          </cell>
          <cell r="F76">
            <v>45783</v>
          </cell>
          <cell r="G76">
            <v>20229149.789999999</v>
          </cell>
          <cell r="H76" t="str">
            <v>CONCLUÍDA</v>
          </cell>
          <cell r="I76" t="str">
            <v>GISELLE G. FONSECA</v>
          </cell>
        </row>
        <row r="77">
          <cell r="B77" t="str">
            <v>170026/001967/2021</v>
          </cell>
          <cell r="C77" t="str">
            <v>CIVIS</v>
          </cell>
          <cell r="D77">
            <v>361</v>
          </cell>
          <cell r="E77">
            <v>45035</v>
          </cell>
          <cell r="F77">
            <v>45396</v>
          </cell>
          <cell r="G77">
            <v>2317778.2200000002</v>
          </cell>
          <cell r="H77" t="str">
            <v>NÃO CONCLUÍDA</v>
          </cell>
          <cell r="I77" t="str">
            <v>GISELLE G. FONSECA</v>
          </cell>
        </row>
        <row r="78">
          <cell r="B78" t="str">
            <v>330018/001017/2021</v>
          </cell>
          <cell r="C78" t="str">
            <v>CIVIS</v>
          </cell>
          <cell r="D78">
            <v>0</v>
          </cell>
          <cell r="E78">
            <v>45034</v>
          </cell>
          <cell r="F78">
            <v>45034</v>
          </cell>
          <cell r="G78">
            <v>3552093.82</v>
          </cell>
          <cell r="H78" t="str">
            <v>CONCLUÍDA</v>
          </cell>
        </row>
        <row r="79">
          <cell r="B79" t="str">
            <v>330018/000445/2023</v>
          </cell>
          <cell r="C79" t="str">
            <v>CIVIS</v>
          </cell>
          <cell r="D79">
            <v>111</v>
          </cell>
          <cell r="E79">
            <v>45365</v>
          </cell>
          <cell r="F79">
            <v>45476</v>
          </cell>
          <cell r="G79">
            <v>10134014.66</v>
          </cell>
          <cell r="H79" t="str">
            <v>NÃO CONCLUÍDA</v>
          </cell>
        </row>
        <row r="80">
          <cell r="B80" t="str">
            <v>170026/003264/2021</v>
          </cell>
          <cell r="C80" t="str">
            <v>CIVIS</v>
          </cell>
          <cell r="D80">
            <v>-151</v>
          </cell>
          <cell r="E80">
            <v>45478</v>
          </cell>
          <cell r="F80">
            <v>45327</v>
          </cell>
          <cell r="G80">
            <v>4928388.09</v>
          </cell>
          <cell r="H80" t="str">
            <v>CONCLUÍDA</v>
          </cell>
          <cell r="I80" t="str">
            <v>ISADORA ROSALINO</v>
          </cell>
        </row>
        <row r="81">
          <cell r="B81" t="str">
            <v>460001/000827/2023</v>
          </cell>
          <cell r="C81" t="str">
            <v>CIVIS</v>
          </cell>
          <cell r="D81">
            <v>540</v>
          </cell>
          <cell r="E81">
            <v>45503</v>
          </cell>
          <cell r="F81">
            <v>46043</v>
          </cell>
          <cell r="G81">
            <v>148784461.49000001</v>
          </cell>
          <cell r="H81" t="str">
            <v>CONCLUÍDA</v>
          </cell>
          <cell r="I81" t="str">
            <v>CARLOS FERNANDES</v>
          </cell>
        </row>
        <row r="82">
          <cell r="B82" t="str">
            <v>330018/000426/2021</v>
          </cell>
          <cell r="C82" t="str">
            <v>CIVIS</v>
          </cell>
          <cell r="D82">
            <v>447</v>
          </cell>
          <cell r="E82">
            <v>44511</v>
          </cell>
          <cell r="F82">
            <v>44958</v>
          </cell>
          <cell r="G82">
            <v>22759968.59</v>
          </cell>
          <cell r="H82" t="str">
            <v>NÃO CONCLUÍDA</v>
          </cell>
        </row>
        <row r="83">
          <cell r="B83" t="str">
            <v>170026/001837/2022</v>
          </cell>
          <cell r="C83" t="str">
            <v>CIVIS</v>
          </cell>
          <cell r="D83">
            <v>540</v>
          </cell>
          <cell r="E83">
            <v>45541</v>
          </cell>
          <cell r="F83">
            <v>46081</v>
          </cell>
          <cell r="G83">
            <v>27739392.32</v>
          </cell>
          <cell r="H83" t="str">
            <v>CONCLUÍDA</v>
          </cell>
          <cell r="I83" t="str">
            <v>JEHNIFFER PIRES</v>
          </cell>
        </row>
        <row r="84">
          <cell r="B84" t="str">
            <v>170026/001812/2021</v>
          </cell>
          <cell r="C84" t="str">
            <v>CIVIS</v>
          </cell>
          <cell r="D84">
            <v>753</v>
          </cell>
          <cell r="E84">
            <v>44536</v>
          </cell>
          <cell r="F84">
            <v>45289</v>
          </cell>
          <cell r="G84">
            <v>5312585.57</v>
          </cell>
          <cell r="H84" t="str">
            <v>CONCLUÍDA</v>
          </cell>
        </row>
        <row r="85">
          <cell r="B85" t="str">
            <v>170026/002183/2021</v>
          </cell>
          <cell r="C85" t="str">
            <v>CIVIS</v>
          </cell>
          <cell r="D85">
            <v>847</v>
          </cell>
          <cell r="E85">
            <v>44637</v>
          </cell>
          <cell r="F85">
            <v>45484</v>
          </cell>
          <cell r="G85">
            <v>5361446.28</v>
          </cell>
          <cell r="H85" t="str">
            <v>CONCLUÍDA</v>
          </cell>
          <cell r="I85" t="str">
            <v>ISADORA ROSALINO</v>
          </cell>
        </row>
        <row r="86">
          <cell r="B86" t="str">
            <v>170026/001230/2022</v>
          </cell>
          <cell r="C86" t="str">
            <v>CIVIS</v>
          </cell>
          <cell r="D86">
            <v>404</v>
          </cell>
          <cell r="E86">
            <v>44804</v>
          </cell>
          <cell r="F86">
            <v>45208</v>
          </cell>
          <cell r="G86">
            <v>2994510.29</v>
          </cell>
          <cell r="H86" t="str">
            <v>CONCLUÍDA</v>
          </cell>
        </row>
        <row r="87">
          <cell r="B87" t="str">
            <v>170026/001865/2021</v>
          </cell>
          <cell r="C87" t="str">
            <v>CIVIS</v>
          </cell>
          <cell r="D87">
            <v>546</v>
          </cell>
          <cell r="E87">
            <v>44832</v>
          </cell>
          <cell r="F87">
            <v>45378</v>
          </cell>
          <cell r="G87">
            <v>8156656.1900000004</v>
          </cell>
          <cell r="H87" t="str">
            <v>CONCLUÍDA</v>
          </cell>
        </row>
        <row r="88">
          <cell r="B88" t="str">
            <v>330018/000887/2022</v>
          </cell>
          <cell r="C88" t="str">
            <v>CIVIS</v>
          </cell>
          <cell r="D88">
            <v>303</v>
          </cell>
          <cell r="E88">
            <v>45314</v>
          </cell>
          <cell r="F88">
            <v>45617</v>
          </cell>
          <cell r="G88">
            <v>7155724.3899999997</v>
          </cell>
          <cell r="H88" t="str">
            <v>CONCLUÍDA</v>
          </cell>
          <cell r="I88" t="str">
            <v>GISELLE G. FONSECA</v>
          </cell>
        </row>
        <row r="89">
          <cell r="B89" t="str">
            <v>330018/001213/2022</v>
          </cell>
          <cell r="C89" t="str">
            <v>CIVIS</v>
          </cell>
          <cell r="D89">
            <v>664</v>
          </cell>
          <cell r="E89">
            <v>45398</v>
          </cell>
          <cell r="F89">
            <v>46062</v>
          </cell>
          <cell r="G89">
            <v>6765672.29</v>
          </cell>
          <cell r="H89" t="str">
            <v>CONCLUÍDA</v>
          </cell>
          <cell r="I89" t="str">
            <v>CARLOS FERNANDES</v>
          </cell>
        </row>
        <row r="90">
          <cell r="B90" t="str">
            <v>330018/001077/2021</v>
          </cell>
          <cell r="C90" t="str">
            <v>CIVIS</v>
          </cell>
          <cell r="D90">
            <v>215</v>
          </cell>
          <cell r="E90">
            <v>44783</v>
          </cell>
          <cell r="F90">
            <v>44998</v>
          </cell>
          <cell r="G90">
            <v>21672861.460000001</v>
          </cell>
          <cell r="H90" t="str">
            <v>NÃO CONCLUÍDA</v>
          </cell>
        </row>
        <row r="91">
          <cell r="B91" t="str">
            <v>330018/000712/2021</v>
          </cell>
          <cell r="C91" t="str">
            <v>CIVIS</v>
          </cell>
          <cell r="D91">
            <v>380</v>
          </cell>
          <cell r="E91">
            <v>44564</v>
          </cell>
          <cell r="F91">
            <v>44944</v>
          </cell>
          <cell r="G91">
            <v>32836774.760000002</v>
          </cell>
          <cell r="H91" t="str">
            <v>CONCLUÍDA</v>
          </cell>
        </row>
        <row r="92">
          <cell r="B92" t="str">
            <v>E-17/001/81/2013</v>
          </cell>
          <cell r="C92" t="str">
            <v>CIVIS</v>
          </cell>
          <cell r="D92">
            <v>2569</v>
          </cell>
          <cell r="E92">
            <v>41443</v>
          </cell>
          <cell r="F92">
            <v>44012</v>
          </cell>
          <cell r="G92">
            <v>14144248.92</v>
          </cell>
          <cell r="H92" t="str">
            <v>NÃO CONCLUÍDA</v>
          </cell>
        </row>
        <row r="93">
          <cell r="B93" t="str">
            <v>330018/000982/2021</v>
          </cell>
          <cell r="C93" t="str">
            <v>CIVIS</v>
          </cell>
          <cell r="D93">
            <v>932</v>
          </cell>
          <cell r="E93">
            <v>44708</v>
          </cell>
          <cell r="F93">
            <v>45640</v>
          </cell>
          <cell r="G93">
            <v>1923627.23</v>
          </cell>
          <cell r="H93" t="str">
            <v>CONCLUÍDA</v>
          </cell>
          <cell r="I93" t="str">
            <v>CARLOS FERNANDES</v>
          </cell>
        </row>
        <row r="94">
          <cell r="B94" t="str">
            <v>330018/000748/2022</v>
          </cell>
          <cell r="C94" t="str">
            <v>CIVIS</v>
          </cell>
          <cell r="D94">
            <v>360</v>
          </cell>
          <cell r="E94">
            <v>45100</v>
          </cell>
          <cell r="F94">
            <v>45460</v>
          </cell>
          <cell r="G94">
            <v>16774604.060000001</v>
          </cell>
          <cell r="H94" t="str">
            <v>NÃO CONCLUÍDA</v>
          </cell>
          <cell r="I94" t="str">
            <v>LUIZ FILHO</v>
          </cell>
        </row>
        <row r="95">
          <cell r="B95" t="str">
            <v>330018/001159/2022</v>
          </cell>
          <cell r="C95" t="str">
            <v>CIVIS</v>
          </cell>
          <cell r="D95">
            <v>300</v>
          </cell>
          <cell r="E95">
            <v>45100</v>
          </cell>
          <cell r="F95">
            <v>45400</v>
          </cell>
          <cell r="G95">
            <v>6784130.4400000004</v>
          </cell>
          <cell r="H95" t="str">
            <v>NÃO CONCLUÍDA</v>
          </cell>
          <cell r="I95" t="str">
            <v>CARLOS FERNANDES</v>
          </cell>
        </row>
        <row r="96">
          <cell r="B96" t="str">
            <v>330018/001392/2022</v>
          </cell>
          <cell r="C96" t="str">
            <v>CIVIS</v>
          </cell>
          <cell r="D96">
            <v>724</v>
          </cell>
          <cell r="E96">
            <v>45019</v>
          </cell>
          <cell r="F96">
            <v>45743</v>
          </cell>
          <cell r="G96">
            <v>30599999.010000002</v>
          </cell>
          <cell r="H96" t="str">
            <v>CONCLUÍDA</v>
          </cell>
          <cell r="I96" t="str">
            <v>ISADORA ROSALINO</v>
          </cell>
        </row>
        <row r="97">
          <cell r="B97" t="str">
            <v>330018/001042/2021</v>
          </cell>
          <cell r="C97" t="str">
            <v>CIVIS</v>
          </cell>
          <cell r="D97">
            <v>550</v>
          </cell>
          <cell r="E97">
            <v>44840</v>
          </cell>
          <cell r="F97">
            <v>45390</v>
          </cell>
          <cell r="G97">
            <v>2394811.9500000002</v>
          </cell>
          <cell r="H97" t="str">
            <v>NÃO CONCLUÍDA</v>
          </cell>
        </row>
        <row r="98">
          <cell r="B98" t="str">
            <v>330018/000960/2021</v>
          </cell>
          <cell r="C98" t="str">
            <v>CIVIS</v>
          </cell>
          <cell r="D98">
            <v>993</v>
          </cell>
          <cell r="E98">
            <v>44823</v>
          </cell>
          <cell r="F98">
            <v>45816</v>
          </cell>
          <cell r="G98">
            <v>26946699.359999999</v>
          </cell>
          <cell r="H98" t="str">
            <v>CONCLUÍDA</v>
          </cell>
          <cell r="I98" t="str">
            <v>GISELLE G. FONSECA</v>
          </cell>
        </row>
        <row r="99">
          <cell r="B99" t="str">
            <v>330018/001069/2021</v>
          </cell>
          <cell r="C99" t="str">
            <v>CIVIS</v>
          </cell>
          <cell r="D99">
            <v>759</v>
          </cell>
          <cell r="E99">
            <v>44708</v>
          </cell>
          <cell r="F99">
            <v>45467</v>
          </cell>
          <cell r="G99">
            <v>6014775.7699999996</v>
          </cell>
          <cell r="H99" t="str">
            <v>CONCLUÍDA</v>
          </cell>
          <cell r="I99" t="str">
            <v>GISELLE G. FONSECA</v>
          </cell>
        </row>
        <row r="100">
          <cell r="B100" t="str">
            <v>330018/000698/2021</v>
          </cell>
          <cell r="C100" t="str">
            <v>CIVIS</v>
          </cell>
          <cell r="D100">
            <v>768</v>
          </cell>
          <cell r="E100">
            <v>44658</v>
          </cell>
          <cell r="F100">
            <v>45426</v>
          </cell>
          <cell r="G100">
            <v>3569195.39</v>
          </cell>
          <cell r="H100" t="str">
            <v>NÃO CONCLUÍDA</v>
          </cell>
          <cell r="I100" t="str">
            <v>GISELLE G. FONSECA</v>
          </cell>
        </row>
        <row r="101">
          <cell r="B101" t="str">
            <v>170026/003834/2021</v>
          </cell>
          <cell r="C101" t="str">
            <v>CIVIS</v>
          </cell>
          <cell r="D101">
            <v>528</v>
          </cell>
          <cell r="E101">
            <v>44883</v>
          </cell>
          <cell r="F101">
            <v>45411</v>
          </cell>
          <cell r="G101">
            <v>2975474.34</v>
          </cell>
          <cell r="H101" t="str">
            <v>CONCLUÍDA</v>
          </cell>
        </row>
        <row r="102">
          <cell r="B102" t="str">
            <v>170026/002388/2021</v>
          </cell>
          <cell r="C102" t="str">
            <v>CIVIS</v>
          </cell>
          <cell r="D102">
            <v>271</v>
          </cell>
          <cell r="E102">
            <v>44911</v>
          </cell>
          <cell r="F102">
            <v>45182</v>
          </cell>
          <cell r="G102">
            <v>724764.22</v>
          </cell>
          <cell r="H102" t="str">
            <v>CONCLUÍDA</v>
          </cell>
        </row>
        <row r="103">
          <cell r="B103" t="str">
            <v>170026/001303/2020</v>
          </cell>
          <cell r="C103" t="str">
            <v>CIVIS</v>
          </cell>
          <cell r="D103">
            <v>670</v>
          </cell>
          <cell r="E103">
            <v>44742</v>
          </cell>
          <cell r="F103">
            <v>45412</v>
          </cell>
          <cell r="G103">
            <v>1988555.07</v>
          </cell>
          <cell r="H103" t="str">
            <v>CONCLUÍDA</v>
          </cell>
        </row>
        <row r="104">
          <cell r="B104" t="str">
            <v>170026/001868/2021</v>
          </cell>
          <cell r="C104" t="str">
            <v>CIVIS</v>
          </cell>
          <cell r="D104">
            <v>544</v>
          </cell>
          <cell r="E104">
            <v>44772</v>
          </cell>
          <cell r="F104">
            <v>45316</v>
          </cell>
          <cell r="G104">
            <v>1690234.37</v>
          </cell>
          <cell r="H104" t="str">
            <v>CONCLUÍDA</v>
          </cell>
        </row>
        <row r="105">
          <cell r="B105" t="str">
            <v>330018/000245/2022</v>
          </cell>
          <cell r="C105" t="str">
            <v>CONTINGENCIA</v>
          </cell>
          <cell r="D105">
            <v>210</v>
          </cell>
          <cell r="E105">
            <v>45776</v>
          </cell>
          <cell r="F105">
            <v>45986</v>
          </cell>
          <cell r="G105">
            <v>1612154.63</v>
          </cell>
          <cell r="H105" t="str">
            <v>CONCLUÍDA</v>
          </cell>
          <cell r="I105" t="str">
            <v>GISELLE G. FONSECA</v>
          </cell>
        </row>
        <row r="106">
          <cell r="B106" t="str">
            <v>330001/001217/2024</v>
          </cell>
          <cell r="C106" t="str">
            <v>CONTINGENCIA</v>
          </cell>
          <cell r="D106">
            <v>359</v>
          </cell>
          <cell r="E106">
            <v>45646</v>
          </cell>
          <cell r="F106">
            <v>46005</v>
          </cell>
          <cell r="G106">
            <v>25179808.670000002</v>
          </cell>
          <cell r="H106" t="str">
            <v>CONCLUÍDA</v>
          </cell>
          <cell r="I106" t="str">
            <v>GISELLE G. FONSECA</v>
          </cell>
        </row>
        <row r="107">
          <cell r="B107" t="str">
            <v>330001/001278/2024</v>
          </cell>
          <cell r="C107" t="str">
            <v>CONTINGENCIA</v>
          </cell>
          <cell r="D107">
            <v>181</v>
          </cell>
          <cell r="E107">
            <v>45783</v>
          </cell>
          <cell r="F107">
            <v>45964</v>
          </cell>
          <cell r="G107">
            <v>666913.68000000005</v>
          </cell>
          <cell r="H107" t="str">
            <v>CONCLUÍDA</v>
          </cell>
          <cell r="I107" t="str">
            <v>GISELLE G. FONSECA</v>
          </cell>
        </row>
        <row r="108">
          <cell r="B108" t="str">
            <v>390005/000096/2021</v>
          </cell>
          <cell r="C108" t="str">
            <v>ESPECIAIS</v>
          </cell>
          <cell r="D108">
            <v>570</v>
          </cell>
          <cell r="E108">
            <v>44613</v>
          </cell>
          <cell r="F108">
            <v>45183</v>
          </cell>
          <cell r="G108">
            <v>1052239.53</v>
          </cell>
          <cell r="H108" t="str">
            <v>CONCLUÍDA</v>
          </cell>
          <cell r="I108" t="str">
            <v>MARCUS</v>
          </cell>
        </row>
        <row r="109">
          <cell r="B109" t="str">
            <v>170026/001374/2022</v>
          </cell>
          <cell r="C109" t="str">
            <v>ESPECIAIS</v>
          </cell>
          <cell r="D109">
            <v>596</v>
          </cell>
          <cell r="E109">
            <v>44917</v>
          </cell>
          <cell r="F109">
            <v>45513</v>
          </cell>
          <cell r="G109">
            <v>14782911.98</v>
          </cell>
          <cell r="H109" t="str">
            <v>CONCLUÍDA</v>
          </cell>
          <cell r="I109" t="str">
            <v>JAQUELINE PASTÓRIO</v>
          </cell>
        </row>
        <row r="110">
          <cell r="B110" t="str">
            <v>E-17/026/0056/2020</v>
          </cell>
          <cell r="C110" t="str">
            <v>ESPECIAIS</v>
          </cell>
          <cell r="D110">
            <v>81</v>
          </cell>
          <cell r="E110">
            <v>43930</v>
          </cell>
          <cell r="F110">
            <v>44011</v>
          </cell>
          <cell r="G110">
            <v>62980000</v>
          </cell>
          <cell r="H110" t="str">
            <v>CONCLUÍDA</v>
          </cell>
          <cell r="I110" t="str">
            <v>ERICK HYLARIO</v>
          </cell>
        </row>
        <row r="111">
          <cell r="B111" t="str">
            <v>170026/000821/2021</v>
          </cell>
          <cell r="C111" t="str">
            <v>ESPECIAIS</v>
          </cell>
          <cell r="D111">
            <v>1538</v>
          </cell>
          <cell r="E111">
            <v>44537</v>
          </cell>
          <cell r="F111">
            <v>46075</v>
          </cell>
          <cell r="G111">
            <v>13554947.83</v>
          </cell>
          <cell r="H111" t="str">
            <v>CONCLUÍDA</v>
          </cell>
          <cell r="I111" t="str">
            <v>IGOR CARNEIRO</v>
          </cell>
        </row>
        <row r="112">
          <cell r="B112" t="str">
            <v>E-17/026/903/2019</v>
          </cell>
          <cell r="C112" t="str">
            <v>ESPECIAIS</v>
          </cell>
          <cell r="D112">
            <v>980</v>
          </cell>
          <cell r="E112">
            <v>44581</v>
          </cell>
          <cell r="F112">
            <v>45561</v>
          </cell>
          <cell r="G112">
            <v>13677862.32</v>
          </cell>
          <cell r="H112" t="str">
            <v>NÃO CONCLUÍDA</v>
          </cell>
          <cell r="I112" t="str">
            <v>JAQUELINE PASTÓRIO</v>
          </cell>
        </row>
        <row r="113">
          <cell r="B113" t="str">
            <v>150001/012862/2022</v>
          </cell>
          <cell r="C113" t="str">
            <v>ESPECIAIS</v>
          </cell>
          <cell r="D113">
            <v>603</v>
          </cell>
          <cell r="E113">
            <v>44872</v>
          </cell>
          <cell r="F113">
            <v>45475</v>
          </cell>
          <cell r="G113">
            <v>56185153.920000002</v>
          </cell>
          <cell r="H113" t="str">
            <v>CONCLUÍDA</v>
          </cell>
          <cell r="I113" t="str">
            <v>AIMAR FILHO</v>
          </cell>
        </row>
        <row r="114">
          <cell r="B114" t="str">
            <v>460001/000251/2023</v>
          </cell>
          <cell r="C114" t="str">
            <v>ESPECIAIS</v>
          </cell>
          <cell r="D114">
            <v>219</v>
          </cell>
          <cell r="E114">
            <v>45034</v>
          </cell>
          <cell r="F114">
            <v>45253</v>
          </cell>
          <cell r="G114">
            <v>16880240</v>
          </cell>
          <cell r="H114" t="str">
            <v>CONCLUÍDA</v>
          </cell>
          <cell r="I114" t="str">
            <v>JAQUELINE PASTÓRIO</v>
          </cell>
        </row>
        <row r="115">
          <cell r="B115" t="str">
            <v>170026/001228/2022</v>
          </cell>
          <cell r="C115" t="str">
            <v>ESPECIAIS</v>
          </cell>
          <cell r="D115">
            <v>765</v>
          </cell>
          <cell r="E115">
            <v>44804</v>
          </cell>
          <cell r="F115">
            <v>45569</v>
          </cell>
          <cell r="G115">
            <v>6519257.0499999998</v>
          </cell>
          <cell r="H115" t="str">
            <v>CONCLUÍDA</v>
          </cell>
          <cell r="I115" t="str">
            <v>JAQUELINE PASTÓRIO</v>
          </cell>
        </row>
        <row r="116">
          <cell r="B116" t="str">
            <v>460001/000779/2023</v>
          </cell>
          <cell r="C116" t="str">
            <v>ESPECIAIS</v>
          </cell>
          <cell r="D116">
            <v>540</v>
          </cell>
          <cell r="E116">
            <v>45189</v>
          </cell>
          <cell r="F116">
            <v>45729</v>
          </cell>
          <cell r="G116">
            <v>48302952.43</v>
          </cell>
          <cell r="H116" t="str">
            <v>CONCLUÍDA</v>
          </cell>
          <cell r="I116" t="str">
            <v>ERICK HYLARIO</v>
          </cell>
        </row>
        <row r="117">
          <cell r="B117" t="str">
            <v>170026/001757/2021</v>
          </cell>
          <cell r="C117" t="str">
            <v>ESPECIAIS</v>
          </cell>
          <cell r="D117">
            <v>468</v>
          </cell>
          <cell r="E117">
            <v>44791</v>
          </cell>
          <cell r="F117">
            <v>45259</v>
          </cell>
          <cell r="G117">
            <v>3615856.15</v>
          </cell>
          <cell r="H117" t="str">
            <v>NÃO CONCLUÍDA</v>
          </cell>
          <cell r="I117" t="str">
            <v>ERICK HYLARIO</v>
          </cell>
        </row>
        <row r="118">
          <cell r="B118" t="str">
            <v>170026/001756/2021</v>
          </cell>
          <cell r="C118" t="str">
            <v>ESPECIAIS</v>
          </cell>
          <cell r="D118">
            <v>888</v>
          </cell>
          <cell r="E118">
            <v>44538</v>
          </cell>
          <cell r="F118">
            <v>45426</v>
          </cell>
          <cell r="G118">
            <v>24165422.120000001</v>
          </cell>
          <cell r="H118" t="str">
            <v>NÃO CONCLUÍDA</v>
          </cell>
          <cell r="I118" t="str">
            <v>ERICK HYLARIO</v>
          </cell>
        </row>
        <row r="119">
          <cell r="B119" t="str">
            <v>330018/000566/2021</v>
          </cell>
          <cell r="C119" t="str">
            <v>ESPECIAIS</v>
          </cell>
          <cell r="D119">
            <v>757</v>
          </cell>
          <cell r="E119">
            <v>44719</v>
          </cell>
          <cell r="F119">
            <v>45476</v>
          </cell>
          <cell r="G119">
            <v>14995089.279999999</v>
          </cell>
          <cell r="H119" t="str">
            <v>CONCLUÍDA</v>
          </cell>
          <cell r="I119" t="str">
            <v>GISELLE G. FONSECA</v>
          </cell>
        </row>
        <row r="120">
          <cell r="B120" t="str">
            <v>330018/000981/2021</v>
          </cell>
          <cell r="C120" t="str">
            <v>ESPECIAIS</v>
          </cell>
          <cell r="D120">
            <v>-196</v>
          </cell>
          <cell r="E120">
            <v>45497</v>
          </cell>
          <cell r="F120">
            <v>45301</v>
          </cell>
          <cell r="G120">
            <v>15078640.210000001</v>
          </cell>
          <cell r="H120" t="str">
            <v>CONCLUÍDA</v>
          </cell>
          <cell r="I120" t="str">
            <v>JAQUELINE PASTÓRIO</v>
          </cell>
        </row>
        <row r="121">
          <cell r="B121" t="str">
            <v>170026/003470/2021</v>
          </cell>
          <cell r="C121" t="str">
            <v>ESPECIAIS</v>
          </cell>
          <cell r="D121">
            <v>1298</v>
          </cell>
          <cell r="E121">
            <v>44638</v>
          </cell>
          <cell r="F121">
            <v>45936</v>
          </cell>
          <cell r="G121">
            <v>24590858.27</v>
          </cell>
          <cell r="H121" t="str">
            <v>CONCLUÍDA</v>
          </cell>
          <cell r="I121" t="str">
            <v>ERICK HYLARIO</v>
          </cell>
        </row>
        <row r="122">
          <cell r="B122" t="str">
            <v>E-17/026/1514/2019</v>
          </cell>
          <cell r="C122" t="str">
            <v>ESPECIAIS</v>
          </cell>
          <cell r="D122">
            <v>602</v>
          </cell>
          <cell r="E122">
            <v>44791</v>
          </cell>
          <cell r="F122">
            <v>45393</v>
          </cell>
          <cell r="G122">
            <v>16932981.449999999</v>
          </cell>
          <cell r="H122" t="str">
            <v>NÃO CONCLUÍDA</v>
          </cell>
          <cell r="I122" t="str">
            <v>AIMAR FILHO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72F35-D8AF-4772-8853-29B3E2999AD3}" name="Tabela2" displayName="Tabela2" ref="A1:I131" totalsRowCount="1" headerRowDxfId="11" dataDxfId="38" headerRowBorderDxfId="20" tableBorderDxfId="21" totalsRowBorderDxfId="19">
  <autoFilter ref="A1:I130" xr:uid="{9F372F35-D8AF-4772-8853-29B3E2999AD3}"/>
  <sortState xmlns:xlrd2="http://schemas.microsoft.com/office/spreadsheetml/2017/richdata2" ref="A4:I32">
    <sortCondition ref="I1:I130"/>
  </sortState>
  <tableColumns count="9">
    <tableColumn id="1" xr3:uid="{2C9FCD71-7B18-4C2D-9E7A-3A9E0C7B22F6}" name="SEI" totalsRowLabel="Total" dataDxfId="18" totalsRowDxfId="8"/>
    <tableColumn id="3" xr3:uid="{50EE87A0-93A7-45F9-BEE7-6BD042061219}" name="GESTOR" totalsRowFunction="count" dataDxfId="9" totalsRowDxfId="0">
      <calculatedColumnFormula>IFERROR(VLOOKUP(TRIM(A2),[1]Medições!$B$2:$I$48,8,FALSE),VLOOKUP(TRIM(A2),[1]PROBLEMAS!$B$2:$I$122,8,FALSE))</calculatedColumnFormula>
    </tableColumn>
    <tableColumn id="9" xr3:uid="{A0F9F811-D47F-4450-A896-4DDAEA467FC3}" name="OBJETO" dataDxfId="17" totalsRowDxfId="7">
      <calculatedColumnFormula>VLOOKUP(TRIM(Tabela2[[#This Row],[SEI]]),Tabela3[[Processo SEI]:[Objeto]],5,FALSE)</calculatedColumnFormula>
    </tableColumn>
    <tableColumn id="11" xr3:uid="{A8EEAE47-56F6-4C0E-9397-A0278841E625}" name="EMPRESA" dataDxfId="16" totalsRowDxfId="6"/>
    <tableColumn id="12" xr3:uid="{8069DB1D-A809-4C37-8461-66D518D0A465}" name="MUNICIPIO" dataDxfId="15" totalsRowDxfId="5"/>
    <tableColumn id="4" xr3:uid="{D61E75DB-3288-4136-82A7-BF2DAE2C3903}" name="FISCAL NOMEADO" dataDxfId="14" totalsRowDxfId="4"/>
    <tableColumn id="5" xr3:uid="{EF0F45FC-D5CF-46F7-9972-FCC69AF64DC9}" name="STATUS_original" dataDxfId="13" totalsRowDxfId="3"/>
    <tableColumn id="8" xr3:uid="{792E73AA-E08D-4F00-8B16-99E73071FDA1}" name="REGIÃO" dataDxfId="12" totalsRowDxfId="2"/>
    <tableColumn id="13" xr3:uid="{7EAC2914-80C3-4699-AC74-F6E00F9C2FEC}" name="STATUS" dataDxfId="10" totalsRowDxfId="1">
      <calculatedColumnFormula>IFERROR(VLOOKUP(TRIM(Tabela2[[#This Row],[SEI]]),[1]Medições!$B$2:$H$48,7,FALSE),Tabela2[[#This Row],[STATUS_original]])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AFFF2-7B9D-4E77-8C47-3950AA5CCF00}" name="Tabela3" displayName="Tabela3" ref="A1:L746" totalsRowShown="0" headerRowDxfId="22" headerRowBorderDxfId="36" tableBorderDxfId="37" totalsRowBorderDxfId="35">
  <autoFilter ref="A1:L746" xr:uid="{9E3EADEC-34B2-4A74-BBA0-94544A39B78E}"/>
  <tableColumns count="12">
    <tableColumn id="1" xr3:uid="{BF7AF027-718F-42AD-B6F5-86D057832851}" name="Processo SEI" dataDxfId="34"/>
    <tableColumn id="2" xr3:uid="{5BEF372A-A29A-43E5-8820-64AF5059940A}" name="Municipio" dataDxfId="33"/>
    <tableColumn id="3" xr3:uid="{3B9D60F6-4F4C-4F99-8B88-D2FA826AB412}" name="Nº do contrato" dataDxfId="32"/>
    <tableColumn id="4" xr3:uid="{3164375C-2D53-459F-86D0-AF18D2D9D8D2}" name="Fase" dataDxfId="31"/>
    <tableColumn id="5" xr3:uid="{728417FE-9E37-4F9E-8402-8765F47A0C95}" name="Objeto" dataDxfId="30"/>
    <tableColumn id="6" xr3:uid="{75D2B6C0-9236-4182-BDC3-D8AF749642A8}" name="Contratada" dataDxfId="29"/>
    <tableColumn id="7" xr3:uid="{8B9393E8-B3D1-41BF-B5C0-E99A1F3AF9F6}" name="Acumulado atual (%)" dataDxfId="28"/>
    <tableColumn id="8" xr3:uid="{C0C37F9F-3E73-4B98-B5D0-BB913812250C}" name="Valor contrato (Atual)" dataDxfId="27"/>
    <tableColumn id="9" xr3:uid="{043BFBFD-D014-4C8B-862E-77C1B56F45C6}" name="Acumulado" dataDxfId="26"/>
    <tableColumn id="10" xr3:uid="{B7B4722B-5E89-4A89-94ED-D985177DC60F}" name="Saldo Atual do Contrato" dataDxfId="25"/>
    <tableColumn id="11" xr3:uid="{8BA331D6-BBBE-4863-B5C0-562054FC3F65}" name="Ordem de Início" dataDxfId="24"/>
    <tableColumn id="12" xr3:uid="{B622A1DC-7BD4-4255-8996-72A36A850EA0}" name="Prazo Final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1174-D5F0-45C2-BB88-95F3C98783C9}">
  <dimension ref="A1:I131"/>
  <sheetViews>
    <sheetView tabSelected="1" zoomScale="112" zoomScaleNormal="112" workbookViewId="0">
      <selection activeCell="C137" sqref="C137"/>
    </sheetView>
  </sheetViews>
  <sheetFormatPr defaultRowHeight="15" x14ac:dyDescent="0.25"/>
  <cols>
    <col min="1" max="1" width="18.7109375" bestFit="1" customWidth="1"/>
    <col min="2" max="2" width="17.85546875" style="87" bestFit="1" customWidth="1"/>
    <col min="3" max="3" width="83.5703125" customWidth="1"/>
    <col min="4" max="4" width="35" bestFit="1" customWidth="1"/>
    <col min="5" max="5" width="26.85546875" bestFit="1" customWidth="1"/>
    <col min="6" max="6" width="36.7109375" hidden="1" customWidth="1"/>
    <col min="7" max="7" width="18" style="73" hidden="1" customWidth="1"/>
    <col min="8" max="8" width="9.5703125" hidden="1" customWidth="1"/>
    <col min="9" max="9" width="16.5703125" bestFit="1" customWidth="1"/>
    <col min="10" max="10" width="18.7109375" bestFit="1" customWidth="1"/>
    <col min="11" max="11" width="18.7109375" customWidth="1"/>
    <col min="12" max="12" width="31.42578125" bestFit="1" customWidth="1"/>
    <col min="13" max="13" width="18.5703125" bestFit="1" customWidth="1"/>
    <col min="14" max="14" width="24.5703125" bestFit="1" customWidth="1"/>
    <col min="15" max="15" width="26.7109375" bestFit="1" customWidth="1"/>
    <col min="16" max="16" width="5.42578125" bestFit="1" customWidth="1"/>
  </cols>
  <sheetData>
    <row r="1" spans="1:9" x14ac:dyDescent="0.25">
      <c r="A1" s="74" t="s">
        <v>0</v>
      </c>
      <c r="B1" s="42" t="s">
        <v>2038</v>
      </c>
      <c r="C1" s="42" t="s">
        <v>329</v>
      </c>
      <c r="D1" s="42" t="s">
        <v>4</v>
      </c>
      <c r="E1" s="42" t="s">
        <v>3</v>
      </c>
      <c r="F1" s="42" t="s">
        <v>1</v>
      </c>
      <c r="G1" s="72" t="s">
        <v>2039</v>
      </c>
      <c r="H1" s="42" t="s">
        <v>130</v>
      </c>
      <c r="I1" s="43" t="s">
        <v>2</v>
      </c>
    </row>
    <row r="2" spans="1:9" x14ac:dyDescent="0.25">
      <c r="A2" s="38" t="s">
        <v>296</v>
      </c>
      <c r="B2" s="8" t="str">
        <f>IFERROR(VLOOKUP(TRIM(A2),[1]Medições!$B$2:$I$48,8,FALSE),VLOOKUP(TRIM(A2),[1]PROBLEMAS!$B$2:$I$122,8,FALSE))</f>
        <v>AIMAR FILHO</v>
      </c>
      <c r="C2" s="5" t="str">
        <f>VLOOKUP(TRIM(Tabela2[[#This Row],[SEI]]),Tabela3[[Processo SEI]:[Objeto]],5,FALSE)</f>
        <v>PROJETOS E OBRAS PARA REFORMA DA SEDE DO TRE-RJ</v>
      </c>
      <c r="D2" s="8" t="s">
        <v>297</v>
      </c>
      <c r="E2" s="8" t="s">
        <v>108</v>
      </c>
      <c r="F2" s="8" t="s">
        <v>282</v>
      </c>
      <c r="G2" s="8" t="s">
        <v>71</v>
      </c>
      <c r="H2" s="8" t="s">
        <v>328</v>
      </c>
      <c r="I2" s="41" t="str">
        <f>IFERROR(VLOOKUP(TRIM(Tabela2[[#This Row],[SEI]]),[1]Medições!$B$2:$H$48,7,FALSE),Tabela2[[#This Row],[STATUS_original]])</f>
        <v>ACEITE DEFINITIVO</v>
      </c>
    </row>
    <row r="3" spans="1:9" x14ac:dyDescent="0.25">
      <c r="A3" s="38" t="s">
        <v>324</v>
      </c>
      <c r="B3" s="8" t="str">
        <f>IFERROR(VLOOKUP(TRIM(A3),[1]Medições!$B$2:$I$48,8,FALSE),VLOOKUP(TRIM(A3),[1]PROBLEMAS!$B$2:$I$122,8,FALSE))</f>
        <v>AIMAR FILHO</v>
      </c>
      <c r="C3" s="5" t="str">
        <f>VLOOKUP(TRIM(Tabela2[[#This Row],[SEI]]),Tabela3[[Processo SEI]:[Objeto]],5,FALSE)</f>
        <v>PROJETO EXECUTIVO E OBRA DE COZINHA INDUSTRIAL E SEDE DA 1ª COMPANHIA DO CFAP – RIO DE JANEIRO</v>
      </c>
      <c r="D3" s="8" t="s">
        <v>325</v>
      </c>
      <c r="E3" s="8" t="s">
        <v>108</v>
      </c>
      <c r="F3" s="8" t="s">
        <v>282</v>
      </c>
      <c r="G3" s="8" t="s">
        <v>21</v>
      </c>
      <c r="H3" s="8" t="s">
        <v>328</v>
      </c>
      <c r="I3" s="41" t="str">
        <f>IFERROR(VLOOKUP(TRIM(Tabela2[[#This Row],[SEI]]),[1]Medições!$B$2:$H$48,7,FALSE),Tabela2[[#This Row],[STATUS_original]])</f>
        <v>DISTRATO</v>
      </c>
    </row>
    <row r="4" spans="1:9" x14ac:dyDescent="0.25">
      <c r="A4" s="7" t="s">
        <v>36</v>
      </c>
      <c r="B4" s="2" t="str">
        <f>IFERROR(VLOOKUP(TRIM(A4),[1]Medições!$B$2:$I$48,8,FALSE),VLOOKUP(TRIM(A4),[1]PROBLEMAS!$B$2:$I$122,8,FALSE))</f>
        <v>CARLOS FERNANDES</v>
      </c>
      <c r="C4" s="5" t="str">
        <f>VLOOKUP(TRIM(Tabela2[[#This Row],[SEI]]),Tabela3[[Processo SEI]:[Objeto]],5,FALSE)</f>
        <v>CANALIZAÇÃO DO CANAL ABEL - NOVA IGUAÇU E QUEIMADOS</v>
      </c>
      <c r="D4" s="1" t="s">
        <v>40</v>
      </c>
      <c r="E4" s="1" t="s">
        <v>39</v>
      </c>
      <c r="F4" s="1" t="s">
        <v>37</v>
      </c>
      <c r="G4" s="22" t="s">
        <v>38</v>
      </c>
      <c r="H4" s="21" t="s">
        <v>131</v>
      </c>
      <c r="I4" s="41" t="str">
        <f>IFERROR(VLOOKUP(TRIM(Tabela2[[#This Row],[SEI]]),[1]Medições!$B$2:$H$48,7,FALSE),Tabela2[[#This Row],[STATUS_original]])</f>
        <v>#CONCLUIDA</v>
      </c>
    </row>
    <row r="5" spans="1:9" x14ac:dyDescent="0.25">
      <c r="A5" s="7" t="s">
        <v>75</v>
      </c>
      <c r="B5" s="1" t="str">
        <f>IFERROR(VLOOKUP(TRIM(A5),[1]Medições!$B$2:$I$48,8,FALSE),VLOOKUP(TRIM(A5),[1]PROBLEMAS!$B$2:$I$122,8,FALSE))</f>
        <v>CARLOS FERNANDES</v>
      </c>
      <c r="C5" s="5" t="str">
        <f>VLOOKUP(TRIM(Tabela2[[#This Row],[SEI]]),Tabela3[[Processo SEI]:[Objeto]],5,FALSE)</f>
        <v>REVESTIMENTO ASFÁLTICO E DRENAGEM NO 2° DISTRITO (Lote 1) – DUQUE DE CAXIAS/RJ (#FUNDO SOBERANO)</v>
      </c>
      <c r="D5" s="1" t="s">
        <v>74</v>
      </c>
      <c r="E5" s="1" t="s">
        <v>8</v>
      </c>
      <c r="F5" s="1" t="s">
        <v>6</v>
      </c>
      <c r="G5" s="22" t="s">
        <v>38</v>
      </c>
      <c r="H5" s="21" t="s">
        <v>131</v>
      </c>
      <c r="I5" s="41" t="str">
        <f>IFERROR(VLOOKUP(TRIM(Tabela2[[#This Row],[SEI]]),[1]Medições!$B$2:$H$48,7,FALSE),Tabela2[[#This Row],[STATUS_original]])</f>
        <v>#CONCLUIDA</v>
      </c>
    </row>
    <row r="6" spans="1:9" x14ac:dyDescent="0.25">
      <c r="A6" s="7" t="s">
        <v>89</v>
      </c>
      <c r="B6" s="1" t="str">
        <f>IFERROR(VLOOKUP(TRIM(A6),[1]Medições!$B$2:$I$48,8,FALSE),VLOOKUP(TRIM(A6),[1]PROBLEMAS!$B$2:$I$122,8,FALSE))</f>
        <v>CARLOS FERNANDES</v>
      </c>
      <c r="C6" s="5" t="str">
        <f>VLOOKUP(TRIM(Tabela2[[#This Row],[SEI]]),Tabela3[[Processo SEI]:[Objeto]],5,FALSE)</f>
        <v>REVESTIMENTO ASFÁLTICO E DRENAGEM NO 2° DISTRITO (Lote 2) – DUQUE DE CAXIAS/RJ (#FUNDO SOBERANO)</v>
      </c>
      <c r="D6" s="1" t="s">
        <v>86</v>
      </c>
      <c r="E6" s="1" t="s">
        <v>8</v>
      </c>
      <c r="F6" s="1" t="s">
        <v>90</v>
      </c>
      <c r="G6" s="22" t="s">
        <v>38</v>
      </c>
      <c r="H6" s="21" t="s">
        <v>131</v>
      </c>
      <c r="I6" s="41" t="str">
        <f>IFERROR(VLOOKUP(TRIM(Tabela2[[#This Row],[SEI]]),[1]Medições!$B$2:$H$48,7,FALSE),Tabela2[[#This Row],[STATUS_original]])</f>
        <v>#CONCLUIDA</v>
      </c>
    </row>
    <row r="7" spans="1:9" x14ac:dyDescent="0.25">
      <c r="A7" s="7" t="s">
        <v>98</v>
      </c>
      <c r="B7" s="1" t="str">
        <f>IFERROR(VLOOKUP(TRIM(A7),[1]Medições!$B$2:$I$48,8,FALSE),VLOOKUP(TRIM(A7),[1]PROBLEMAS!$B$2:$I$122,8,FALSE))</f>
        <v>CARLOS FERNANDES</v>
      </c>
      <c r="C7" s="5" t="str">
        <f>VLOOKUP(TRIM(Tabela2[[#This Row],[SEI]]),Tabela3[[Processo SEI]:[Objeto]],5,FALSE)</f>
        <v>PONTE EM CONCRETO PROTENDIDO COM DRENAGEM – BELFORD ROXO/RJ</v>
      </c>
      <c r="D7" s="1" t="s">
        <v>100</v>
      </c>
      <c r="E7" s="1" t="s">
        <v>99</v>
      </c>
      <c r="F7" s="1" t="s">
        <v>49</v>
      </c>
      <c r="G7" s="22" t="s">
        <v>38</v>
      </c>
      <c r="H7" s="21" t="s">
        <v>131</v>
      </c>
      <c r="I7" s="41" t="str">
        <f>IFERROR(VLOOKUP(TRIM(Tabela2[[#This Row],[SEI]]),[1]Medições!$B$2:$H$48,7,FALSE),Tabela2[[#This Row],[STATUS_original]])</f>
        <v>#CONCLUIDA</v>
      </c>
    </row>
    <row r="8" spans="1:9" x14ac:dyDescent="0.25">
      <c r="A8" s="75" t="s">
        <v>199</v>
      </c>
      <c r="B8" s="5" t="str">
        <f>IFERROR(VLOOKUP(TRIM(A8),[1]Medições!$B$2:$I$48,8,FALSE),VLOOKUP(TRIM(A8),[1]PROBLEMAS!$B$2:$I$122,8,FALSE))</f>
        <v>CARLOS FERNANDES</v>
      </c>
      <c r="C8" s="5" t="str">
        <f>VLOOKUP(TRIM(Tabela2[[#This Row],[SEI]]),Tabela3[[Processo SEI]:[Objeto]],5,FALSE)</f>
        <v>PROJETO, DRENAGEM E INFRAESTRUTURA - MENDES/RJ</v>
      </c>
      <c r="D8" s="5" t="s">
        <v>202</v>
      </c>
      <c r="E8" s="5" t="s">
        <v>201</v>
      </c>
      <c r="F8" s="2" t="s">
        <v>200</v>
      </c>
      <c r="G8" s="22" t="s">
        <v>38</v>
      </c>
      <c r="H8" s="21" t="s">
        <v>259</v>
      </c>
      <c r="I8" s="41" t="str">
        <f>IFERROR(VLOOKUP(TRIM(Tabela2[[#This Row],[SEI]]),[1]Medições!$B$2:$H$48,7,FALSE),Tabela2[[#This Row],[STATUS_original]])</f>
        <v>#CONCLUIDA</v>
      </c>
    </row>
    <row r="9" spans="1:9" x14ac:dyDescent="0.25">
      <c r="A9" s="75" t="s">
        <v>203</v>
      </c>
      <c r="B9" s="5" t="str">
        <f>IFERROR(VLOOKUP(TRIM(A9),[1]Medições!$B$2:$I$48,8,FALSE),VLOOKUP(TRIM(A9),[1]PROBLEMAS!$B$2:$I$122,8,FALSE))</f>
        <v>CARLOS FERNANDES</v>
      </c>
      <c r="C9" s="5" t="str">
        <f>VLOOKUP(TRIM(Tabela2[[#This Row],[SEI]]),Tabela3[[Processo SEI]:[Objeto]],5,FALSE)</f>
        <v>REVITALIZAÇÃO – AV. DOM PEDRO II – PORTO REAL-RJ</v>
      </c>
      <c r="D9" s="5" t="s">
        <v>205</v>
      </c>
      <c r="E9" s="5" t="s">
        <v>204</v>
      </c>
      <c r="F9" s="2" t="s">
        <v>200</v>
      </c>
      <c r="G9" s="22" t="s">
        <v>38</v>
      </c>
      <c r="H9" s="21" t="s">
        <v>259</v>
      </c>
      <c r="I9" s="41" t="str">
        <f>IFERROR(VLOOKUP(TRIM(Tabela2[[#This Row],[SEI]]),[1]Medições!$B$2:$H$48,7,FALSE),Tabela2[[#This Row],[STATUS_original]])</f>
        <v>#CONCLUIDA</v>
      </c>
    </row>
    <row r="10" spans="1:9" x14ac:dyDescent="0.25">
      <c r="A10" s="75" t="s">
        <v>232</v>
      </c>
      <c r="B10" s="5" t="str">
        <f>IFERROR(VLOOKUP(TRIM(A10),[1]Medições!$B$2:$I$48,8,FALSE),VLOOKUP(TRIM(A10),[1]PROBLEMAS!$B$2:$I$122,8,FALSE))</f>
        <v>CARLOS FERNANDES</v>
      </c>
      <c r="C10" s="5" t="str">
        <f>VLOOKUP(TRIM(Tabela2[[#This Row],[SEI]]),Tabela3[[Processo SEI]:[Objeto]],5,FALSE)</f>
        <v>RECAPEAMENTO, PAVIMENTAÇÃO E CONTENÇÃO – BARRA MANSA-RJ</v>
      </c>
      <c r="D10" s="5" t="s">
        <v>74</v>
      </c>
      <c r="E10" s="5" t="s">
        <v>192</v>
      </c>
      <c r="F10" s="5" t="s">
        <v>191</v>
      </c>
      <c r="G10" s="22" t="s">
        <v>38</v>
      </c>
      <c r="H10" s="21" t="s">
        <v>259</v>
      </c>
      <c r="I10" s="41" t="str">
        <f>IFERROR(VLOOKUP(TRIM(Tabela2[[#This Row],[SEI]]),[1]Medições!$B$2:$H$48,7,FALSE),Tabela2[[#This Row],[STATUS_original]])</f>
        <v>#CONCLUIDA</v>
      </c>
    </row>
    <row r="11" spans="1:9" x14ac:dyDescent="0.25">
      <c r="A11" s="7" t="s">
        <v>69</v>
      </c>
      <c r="B11" s="1" t="str">
        <f>IFERROR(VLOOKUP(TRIM(A11),[1]Medições!$B$2:$I$48,8,FALSE),VLOOKUP(TRIM(A11),[1]PROBLEMAS!$B$2:$I$122,8,FALSE))</f>
        <v>CARLOS FERNANDES</v>
      </c>
      <c r="C11" s="5" t="str">
        <f>VLOOKUP(TRIM(Tabela2[[#This Row],[SEI]]),Tabela3[[Processo SEI]:[Objeto]],5,FALSE)</f>
        <v>MICRODRENAGEM E PAVIMENTAÇÃO NO BAIRRO AUSTIN - NOVA IGUAÇU</v>
      </c>
      <c r="D11" s="1" t="s">
        <v>53</v>
      </c>
      <c r="E11" s="1" t="s">
        <v>39</v>
      </c>
      <c r="F11" s="1" t="s">
        <v>70</v>
      </c>
      <c r="G11" s="22" t="s">
        <v>71</v>
      </c>
      <c r="H11" s="21" t="s">
        <v>131</v>
      </c>
      <c r="I11" s="41" t="str">
        <f>IFERROR(VLOOKUP(TRIM(Tabela2[[#This Row],[SEI]]),[1]Medições!$B$2:$H$48,7,FALSE),Tabela2[[#This Row],[STATUS_original]])</f>
        <v>ACEITE DEFINITIVO</v>
      </c>
    </row>
    <row r="12" spans="1:9" x14ac:dyDescent="0.25">
      <c r="A12" s="77" t="s">
        <v>136</v>
      </c>
      <c r="B12" s="83" t="str">
        <f>IFERROR(VLOOKUP(TRIM(A12),[1]Medições!$B$2:$I$48,8,FALSE),VLOOKUP(TRIM(A12),[1]PROBLEMAS!$B$2:$I$122,8,FALSE))</f>
        <v>CARLOS FERNANDES</v>
      </c>
      <c r="C12" s="5" t="str">
        <f>VLOOKUP(TRIM(Tabela2[[#This Row],[SEI]]),Tabela3[[Processo SEI]:[Objeto]],5,FALSE)</f>
        <v>CONTENÇÃO, DRENAGEM E ESTABILIZAÇÃO – SÃO JOSÉ DE UBÁ/RJ</v>
      </c>
      <c r="D12" s="16" t="s">
        <v>139</v>
      </c>
      <c r="E12" s="16" t="s">
        <v>138</v>
      </c>
      <c r="F12" s="15" t="s">
        <v>137</v>
      </c>
      <c r="G12" s="27" t="s">
        <v>71</v>
      </c>
      <c r="H12" s="10" t="s">
        <v>189</v>
      </c>
      <c r="I12" s="41" t="str">
        <f>IFERROR(VLOOKUP(TRIM(Tabela2[[#This Row],[SEI]]),[1]Medições!$B$2:$H$48,7,FALSE),Tabela2[[#This Row],[STATUS_original]])</f>
        <v>ACEITE DEFINITIVO</v>
      </c>
    </row>
    <row r="13" spans="1:9" x14ac:dyDescent="0.25">
      <c r="A13" s="77" t="s">
        <v>165</v>
      </c>
      <c r="B13" s="83" t="str">
        <f>IFERROR(VLOOKUP(TRIM(A13),[1]Medições!$B$2:$I$48,8,FALSE),VLOOKUP(TRIM(A13),[1]PROBLEMAS!$B$2:$I$122,8,FALSE))</f>
        <v>CARLOS FERNANDES</v>
      </c>
      <c r="C13" s="5" t="str">
        <f>VLOOKUP(TRIM(Tabela2[[#This Row],[SEI]]),Tabela3[[Processo SEI]:[Objeto]],5,FALSE)</f>
        <v>ESTABILIZAÇÃO DE ENCOSTA – AV. FERROVIÁRIOS, NOVA FRIBURGO</v>
      </c>
      <c r="D13" s="16" t="s">
        <v>168</v>
      </c>
      <c r="E13" s="16" t="s">
        <v>167</v>
      </c>
      <c r="F13" s="15" t="s">
        <v>166</v>
      </c>
      <c r="G13" s="27" t="s">
        <v>71</v>
      </c>
      <c r="H13" s="10" t="s">
        <v>189</v>
      </c>
      <c r="I13" s="41" t="str">
        <f>IFERROR(VLOOKUP(TRIM(Tabela2[[#This Row],[SEI]]),[1]Medições!$B$2:$H$48,7,FALSE),Tabela2[[#This Row],[STATUS_original]])</f>
        <v>ACEITE DEFINITIVO</v>
      </c>
    </row>
    <row r="14" spans="1:9" x14ac:dyDescent="0.25">
      <c r="A14" s="7" t="s">
        <v>26</v>
      </c>
      <c r="B14" s="2" t="str">
        <f>IFERROR(VLOOKUP(TRIM(A14),[1]Medições!$B$2:$I$48,8,FALSE),VLOOKUP(TRIM(A14),[1]PROBLEMAS!$B$2:$I$122,8,FALSE))</f>
        <v>CARLOS FERNANDES</v>
      </c>
      <c r="C14" s="5" t="str">
        <f>VLOOKUP(TRIM(Tabela2[[#This Row],[SEI]]),Tabela3[[Processo SEI]:[Objeto]],5,FALSE)</f>
        <v>CONTENÇÃO E DRENAGEM EM CASTELÂNEA, PETRÓPOLIS</v>
      </c>
      <c r="D14" s="1" t="s">
        <v>29</v>
      </c>
      <c r="E14" s="1" t="s">
        <v>28</v>
      </c>
      <c r="F14" s="1" t="s">
        <v>27</v>
      </c>
      <c r="G14" s="23" t="s">
        <v>12</v>
      </c>
      <c r="H14" s="21" t="s">
        <v>131</v>
      </c>
      <c r="I14" s="41" t="str">
        <f>IFERROR(VLOOKUP(TRIM(Tabela2[[#This Row],[SEI]]),[1]Medições!$B$2:$H$48,7,FALSE),Tabela2[[#This Row],[STATUS_original]])</f>
        <v>CONCLUIDA</v>
      </c>
    </row>
    <row r="15" spans="1:9" x14ac:dyDescent="0.25">
      <c r="A15" s="7" t="s">
        <v>48</v>
      </c>
      <c r="B15" s="2" t="str">
        <f>IFERROR(VLOOKUP(TRIM(A15),[1]Medições!$B$2:$I$48,8,FALSE),VLOOKUP(TRIM(A15),[1]PROBLEMAS!$B$2:$I$122,8,FALSE))</f>
        <v>CARLOS FERNANDES</v>
      </c>
      <c r="C15" s="5" t="str">
        <f>VLOOKUP(TRIM(Tabela2[[#This Row],[SEI]]),Tabela3[[Processo SEI]:[Objeto]],5,FALSE)</f>
        <v>DRENAGEM PLUVIAL E PAVIMENTAÇÃO NO BAIRRO MIGUEL COUTO – NOVA IGUAÇU/RJ</v>
      </c>
      <c r="D15" s="1" t="s">
        <v>50</v>
      </c>
      <c r="E15" s="1" t="s">
        <v>39</v>
      </c>
      <c r="F15" s="1" t="s">
        <v>49</v>
      </c>
      <c r="G15" s="23" t="s">
        <v>12</v>
      </c>
      <c r="H15" s="21" t="s">
        <v>131</v>
      </c>
      <c r="I15" s="41" t="str">
        <f>IFERROR(VLOOKUP(TRIM(Tabela2[[#This Row],[SEI]]),[1]Medições!$B$2:$H$48,7,FALSE),Tabela2[[#This Row],[STATUS_original]])</f>
        <v>CONCLUIDA</v>
      </c>
    </row>
    <row r="16" spans="1:9" x14ac:dyDescent="0.25">
      <c r="A16" s="7" t="s">
        <v>51</v>
      </c>
      <c r="B16" s="2" t="str">
        <f>IFERROR(VLOOKUP(TRIM(A16),[1]Medições!$B$2:$I$48,8,FALSE),VLOOKUP(TRIM(A16),[1]PROBLEMAS!$B$2:$I$122,8,FALSE))</f>
        <v>CARLOS FERNANDES</v>
      </c>
      <c r="C16" s="5" t="str">
        <f>VLOOKUP(TRIM(Tabela2[[#This Row],[SEI]]),Tabela3[[Processo SEI]:[Objeto]],5,FALSE)</f>
        <v>URBANIZAÇÃO AO RIO ABEL, QUEIMADOS/RJ</v>
      </c>
      <c r="D16" s="1" t="s">
        <v>53</v>
      </c>
      <c r="E16" s="1" t="s">
        <v>52</v>
      </c>
      <c r="F16" s="1" t="s">
        <v>37</v>
      </c>
      <c r="G16" s="23" t="s">
        <v>12</v>
      </c>
      <c r="H16" s="21" t="s">
        <v>131</v>
      </c>
      <c r="I16" s="41" t="str">
        <f>IFERROR(VLOOKUP(TRIM(Tabela2[[#This Row],[SEI]]),[1]Medições!$B$2:$H$48,7,FALSE),Tabela2[[#This Row],[STATUS_original]])</f>
        <v>CONCLUIDA</v>
      </c>
    </row>
    <row r="17" spans="1:9" x14ac:dyDescent="0.25">
      <c r="A17" s="7" t="s">
        <v>60</v>
      </c>
      <c r="B17" s="2" t="str">
        <f>IFERROR(VLOOKUP(TRIM(A17),[1]Medições!$B$2:$I$48,8,FALSE),VLOOKUP(TRIM(A17),[1]PROBLEMAS!$B$2:$I$122,8,FALSE))</f>
        <v>CARLOS FERNANDES</v>
      </c>
      <c r="C17" s="5" t="str">
        <f>VLOOKUP(TRIM(Tabela2[[#This Row],[SEI]]),Tabela3[[Processo SEI]:[Objeto]],5,FALSE)</f>
        <v>REVITALIZAÇÃO DA AV. RUI BARBOSA - MACAÉ/RJ</v>
      </c>
      <c r="D17" s="4" t="s">
        <v>63</v>
      </c>
      <c r="E17" s="4" t="s">
        <v>62</v>
      </c>
      <c r="F17" s="2" t="s">
        <v>61</v>
      </c>
      <c r="G17" s="23" t="s">
        <v>12</v>
      </c>
      <c r="H17" s="21" t="s">
        <v>131</v>
      </c>
      <c r="I17" s="41" t="str">
        <f>IFERROR(VLOOKUP(TRIM(Tabela2[[#This Row],[SEI]]),[1]Medições!$B$2:$H$48,7,FALSE),Tabela2[[#This Row],[STATUS_original]])</f>
        <v>CONCLUIDA</v>
      </c>
    </row>
    <row r="18" spans="1:9" x14ac:dyDescent="0.25">
      <c r="A18" s="7" t="s">
        <v>77</v>
      </c>
      <c r="B18" s="2" t="str">
        <f>IFERROR(VLOOKUP(TRIM(A18),[1]Medições!$B$2:$I$48,8,FALSE),VLOOKUP(TRIM(A18),[1]PROBLEMAS!$B$2:$I$122,8,FALSE))</f>
        <v>CARLOS FERNANDES</v>
      </c>
      <c r="C18" s="5" t="str">
        <f>VLOOKUP(TRIM(Tabela2[[#This Row],[SEI]]),Tabela3[[Processo SEI]:[Objeto]],5,FALSE)</f>
        <v>PROJETO E OBRAS DE PAVIMENTAÇÃO E DRENAGEM NA VILA SÃO JOÃO, QUEIMADOS/RJ</v>
      </c>
      <c r="D18" s="1" t="s">
        <v>78</v>
      </c>
      <c r="E18" s="1" t="s">
        <v>52</v>
      </c>
      <c r="F18" s="1" t="s">
        <v>37</v>
      </c>
      <c r="G18" s="23" t="s">
        <v>12</v>
      </c>
      <c r="H18" s="21" t="s">
        <v>131</v>
      </c>
      <c r="I18" s="41" t="str">
        <f>IFERROR(VLOOKUP(TRIM(Tabela2[[#This Row],[SEI]]),[1]Medições!$B$2:$H$48,7,FALSE),Tabela2[[#This Row],[STATUS_original]])</f>
        <v>CONCLUIDA</v>
      </c>
    </row>
    <row r="19" spans="1:9" x14ac:dyDescent="0.25">
      <c r="A19" s="7" t="s">
        <v>82</v>
      </c>
      <c r="B19" s="1" t="str">
        <f>IFERROR(VLOOKUP(TRIM(A19),[1]Medições!$B$2:$I$48,8,FALSE),VLOOKUP(TRIM(A19),[1]PROBLEMAS!$B$2:$I$122,8,FALSE))</f>
        <v>CARLOS FERNANDES</v>
      </c>
      <c r="C19" s="5" t="str">
        <f>VLOOKUP(TRIM(Tabela2[[#This Row],[SEI]]),Tabela3[[Processo SEI]:[Objeto]],5,FALSE)</f>
        <v>CONTENÇÃO DE ENCOSTAS, REFORMA DE PRAÇAS E URBANIZAÇÃO NO PRIMEIRO DISTRITO DE NILÓPOLIS</v>
      </c>
      <c r="D19" s="1" t="s">
        <v>81</v>
      </c>
      <c r="E19" s="1" t="s">
        <v>84</v>
      </c>
      <c r="F19" s="1" t="s">
        <v>83</v>
      </c>
      <c r="G19" s="23" t="s">
        <v>12</v>
      </c>
      <c r="H19" s="21" t="s">
        <v>131</v>
      </c>
      <c r="I19" s="41" t="str">
        <f>IFERROR(VLOOKUP(TRIM(Tabela2[[#This Row],[SEI]]),[1]Medições!$B$2:$H$48,7,FALSE),Tabela2[[#This Row],[STATUS_original]])</f>
        <v>CONCLUIDA</v>
      </c>
    </row>
    <row r="20" spans="1:9" x14ac:dyDescent="0.25">
      <c r="A20" s="7" t="s">
        <v>19</v>
      </c>
      <c r="B20" s="2" t="str">
        <f>IFERROR(VLOOKUP(TRIM(A20),[1]Medições!$B$2:$I$48,8,FALSE),VLOOKUP(TRIM(A20),[1]PROBLEMAS!$B$2:$I$122,8,FALSE))</f>
        <v>CARLOS FERNANDES</v>
      </c>
      <c r="C20" s="5" t="str">
        <f>VLOOKUP(TRIM(Tabela2[[#This Row],[SEI]]),Tabela3[[Processo SEI]:[Objeto]],5,FALSE)</f>
        <v>IMPLANTAÇÃO DO VIADUTO DO CODIN - CAXIAS/RJ</v>
      </c>
      <c r="D20" s="1" t="s">
        <v>22</v>
      </c>
      <c r="E20" s="1" t="s">
        <v>8</v>
      </c>
      <c r="F20" s="1" t="s">
        <v>20</v>
      </c>
      <c r="G20" s="24" t="s">
        <v>21</v>
      </c>
      <c r="H20" s="21" t="s">
        <v>131</v>
      </c>
      <c r="I20" s="41" t="str">
        <f>IFERROR(VLOOKUP(TRIM(Tabela2[[#This Row],[SEI]]),[1]Medições!$B$2:$H$48,7,FALSE),Tabela2[[#This Row],[STATUS_original]])</f>
        <v>DISTRATO</v>
      </c>
    </row>
    <row r="21" spans="1:9" x14ac:dyDescent="0.25">
      <c r="A21" s="7" t="s">
        <v>33</v>
      </c>
      <c r="B21" s="1" t="str">
        <f>IFERROR(VLOOKUP(TRIM(A21),[1]Medições!$B$2:$I$48,8,FALSE),VLOOKUP(TRIM(A21),[1]PROBLEMAS!$B$2:$I$122,8,FALSE))</f>
        <v>CARLOS FERNANDES</v>
      </c>
      <c r="C21" s="5" t="str">
        <f>VLOOKUP(TRIM(Tabela2[[#This Row],[SEI]]),Tabela3[[Processo SEI]:[Objeto]],5,FALSE)</f>
        <v>MACRODRENAGEM DO SÃO BENTO - DUQUE DE CAXIAS - RJ</v>
      </c>
      <c r="D21" s="1" t="s">
        <v>35</v>
      </c>
      <c r="E21" s="1" t="s">
        <v>8</v>
      </c>
      <c r="F21" s="1" t="s">
        <v>34</v>
      </c>
      <c r="G21" s="22" t="s">
        <v>21</v>
      </c>
      <c r="H21" s="21" t="s">
        <v>131</v>
      </c>
      <c r="I21" s="41" t="str">
        <f>IFERROR(VLOOKUP(TRIM(Tabela2[[#This Row],[SEI]]),[1]Medições!$B$2:$H$48,7,FALSE),Tabela2[[#This Row],[STATUS_original]])</f>
        <v>DISTRATO</v>
      </c>
    </row>
    <row r="22" spans="1:9" x14ac:dyDescent="0.25">
      <c r="A22" s="7" t="s">
        <v>55</v>
      </c>
      <c r="B22" s="2" t="str">
        <f>IFERROR(VLOOKUP(TRIM(A22),[1]Medições!$B$2:$I$48,8,FALSE),VLOOKUP(TRIM(A22),[1]PROBLEMAS!$B$2:$I$122,8,FALSE))</f>
        <v>CARLOS FERNANDES</v>
      </c>
      <c r="C22" s="5" t="str">
        <f>VLOOKUP(TRIM(Tabela2[[#This Row],[SEI]]),Tabela3[[Processo SEI]:[Objeto]],5,FALSE)</f>
        <v>DRENAGEM E PAVIMENTAÇÃO - ITACURUÇÁ, MANGARATIBA/RJ</v>
      </c>
      <c r="D22" s="1" t="s">
        <v>56</v>
      </c>
      <c r="E22" s="1" t="s">
        <v>42</v>
      </c>
      <c r="F22" s="1" t="s">
        <v>49</v>
      </c>
      <c r="G22" s="25" t="s">
        <v>21</v>
      </c>
      <c r="H22" s="21" t="s">
        <v>131</v>
      </c>
      <c r="I22" s="41" t="str">
        <f>IFERROR(VLOOKUP(TRIM(Tabela2[[#This Row],[SEI]]),[1]Medições!$B$2:$H$48,7,FALSE),Tabela2[[#This Row],[STATUS_original]])</f>
        <v>DISTRATO</v>
      </c>
    </row>
    <row r="23" spans="1:9" x14ac:dyDescent="0.25">
      <c r="A23" s="7" t="s">
        <v>113</v>
      </c>
      <c r="B23" s="2" t="str">
        <f>IFERROR(VLOOKUP(TRIM(A23),[1]Medições!$B$2:$I$48,8,FALSE),VLOOKUP(TRIM(A23),[1]PROBLEMAS!$B$2:$I$122,8,FALSE))</f>
        <v>CARLOS FERNANDES</v>
      </c>
      <c r="C23" s="5" t="str">
        <f>VLOOKUP(TRIM(Tabela2[[#This Row],[SEI]]),Tabela3[[Processo SEI]:[Objeto]],5,FALSE)</f>
        <v>DRENAGEM, PAVIMENTAÇÃO E SINALIZAÇÃO VIÁRIA - 2022 – VILA CAMARIM – QUEIMADOS - RJ</v>
      </c>
      <c r="D23" s="1" t="s">
        <v>105</v>
      </c>
      <c r="E23" s="1" t="s">
        <v>52</v>
      </c>
      <c r="F23" s="1" t="s">
        <v>37</v>
      </c>
      <c r="G23" s="22" t="s">
        <v>21</v>
      </c>
      <c r="H23" s="21" t="s">
        <v>131</v>
      </c>
      <c r="I23" s="41" t="str">
        <f>IFERROR(VLOOKUP(TRIM(Tabela2[[#This Row],[SEI]]),[1]Medições!$B$2:$H$48,7,FALSE),Tabela2[[#This Row],[STATUS_original]])</f>
        <v>DISTRATO</v>
      </c>
    </row>
    <row r="24" spans="1:9" x14ac:dyDescent="0.25">
      <c r="A24" s="7" t="s">
        <v>5</v>
      </c>
      <c r="B24" s="2" t="str">
        <f>IFERROR(VLOOKUP(TRIM(A24),[1]Medições!$B$2:$I$48,8,FALSE),VLOOKUP(TRIM(A24),[1]PROBLEMAS!$B$2:$I$122,8,FALSE))</f>
        <v>CARLOS FERNANDES</v>
      </c>
      <c r="C24" s="5" t="str">
        <f>VLOOKUP(TRIM(Tabela2[[#This Row],[SEI]]),Tabela3[[Processo SEI]:[Objeto]],5,FALSE)</f>
        <v>DUPLICAÇÃO DA RJ-085 E DUAS PONTES METÁLICAS – CAXIAS/RJ</v>
      </c>
      <c r="D24" s="1" t="s">
        <v>9</v>
      </c>
      <c r="E24" s="1" t="s">
        <v>8</v>
      </c>
      <c r="F24" s="1" t="s">
        <v>6</v>
      </c>
      <c r="G24" s="22" t="s">
        <v>7</v>
      </c>
      <c r="H24" s="21" t="s">
        <v>131</v>
      </c>
      <c r="I24" s="41" t="str">
        <f>IFERROR(VLOOKUP(TRIM(Tabela2[[#This Row],[SEI]]),[1]Medições!$B$2:$H$48,7,FALSE),Tabela2[[#This Row],[STATUS_original]])</f>
        <v>EXECUÇÃO</v>
      </c>
    </row>
    <row r="25" spans="1:9" x14ac:dyDescent="0.25">
      <c r="A25" s="20" t="s">
        <v>30</v>
      </c>
      <c r="B25" s="2" t="str">
        <f>IFERROR(VLOOKUP(TRIM(A25),[1]Medições!$B$2:$I$48,8,FALSE),VLOOKUP(TRIM(A25),[1]PROBLEMAS!$B$2:$I$122,8,FALSE))</f>
        <v>CARLOS FERNANDES</v>
      </c>
      <c r="C25" s="5" t="str">
        <f>VLOOKUP(TRIM(Tabela2[[#This Row],[SEI]]),Tabela3[[Processo SEI]:[Objeto]],5,FALSE)</f>
        <v>CONSTRUÇÃO DE VIADUTO NO KM168 - SÃO JOÃO DE MERITI/RJ</v>
      </c>
      <c r="D25" s="1" t="s">
        <v>32</v>
      </c>
      <c r="E25" s="1" t="s">
        <v>31</v>
      </c>
      <c r="F25" s="1" t="s">
        <v>6</v>
      </c>
      <c r="G25" s="22" t="s">
        <v>7</v>
      </c>
      <c r="H25" s="21" t="s">
        <v>131</v>
      </c>
      <c r="I25" s="41" t="str">
        <f>IFERROR(VLOOKUP(TRIM(Tabela2[[#This Row],[SEI]]),[1]Medições!$B$2:$H$48,7,FALSE),Tabela2[[#This Row],[STATUS_original]])</f>
        <v>EXECUÇÃO</v>
      </c>
    </row>
    <row r="26" spans="1:9" x14ac:dyDescent="0.25">
      <c r="A26" s="7" t="s">
        <v>76</v>
      </c>
      <c r="B26" s="1" t="str">
        <f>IFERROR(VLOOKUP(TRIM(A26),[1]Medições!$B$2:$I$48,8,FALSE),VLOOKUP(TRIM(A26),[1]PROBLEMAS!$B$2:$I$122,8,FALSE))</f>
        <v>CARLOS FERNANDES</v>
      </c>
      <c r="C26" s="5" t="str">
        <f>VLOOKUP(TRIM(Tabela2[[#This Row],[SEI]]),Tabela3[[Processo SEI]:[Objeto]],5,FALSE)</f>
        <v>DRENAGEM, PAVIMENTAÇÃO E SINALIZAÇÃO VIÁRIA - 2024 – VILA CAMARIM – QUEIMADOS - RJ</v>
      </c>
      <c r="D26" s="1" t="s">
        <v>74</v>
      </c>
      <c r="E26" s="1" t="s">
        <v>52</v>
      </c>
      <c r="F26" s="1" t="s">
        <v>49</v>
      </c>
      <c r="G26" s="22" t="s">
        <v>7</v>
      </c>
      <c r="H26" s="21" t="s">
        <v>131</v>
      </c>
      <c r="I26" s="41" t="str">
        <f>IFERROR(VLOOKUP(TRIM(Tabela2[[#This Row],[SEI]]),[1]Medições!$B$2:$H$48,7,FALSE),Tabela2[[#This Row],[STATUS_original]])</f>
        <v>EXECUÇÃO</v>
      </c>
    </row>
    <row r="27" spans="1:9" x14ac:dyDescent="0.25">
      <c r="A27" s="7" t="s">
        <v>85</v>
      </c>
      <c r="B27" s="2" t="str">
        <f>IFERROR(VLOOKUP(TRIM(A27),[1]Medições!$B$2:$I$48,8,FALSE),VLOOKUP(TRIM(A27),[1]PROBLEMAS!$B$2:$I$122,8,FALSE))</f>
        <v>CARLOS FERNANDES</v>
      </c>
      <c r="C27" s="5" t="str">
        <f>VLOOKUP(TRIM(Tabela2[[#This Row],[SEI]]),Tabela3[[Processo SEI]:[Objeto]],5,FALSE)</f>
        <v>RECUPERAÇÃO DOS CORPOS HÍDRICOS DO CANAL CABOCLOS – DUQUE DE CAXIAS/RJ</v>
      </c>
      <c r="D27" s="1" t="s">
        <v>86</v>
      </c>
      <c r="E27" s="1" t="s">
        <v>8</v>
      </c>
      <c r="F27" s="1" t="s">
        <v>6</v>
      </c>
      <c r="G27" s="22" t="s">
        <v>7</v>
      </c>
      <c r="H27" s="21" t="s">
        <v>131</v>
      </c>
      <c r="I27" s="41" t="str">
        <f>IFERROR(VLOOKUP(TRIM(Tabela2[[#This Row],[SEI]]),[1]Medições!$B$2:$H$48,7,FALSE),Tabela2[[#This Row],[STATUS_original]])</f>
        <v>EXECUÇÃO</v>
      </c>
    </row>
    <row r="28" spans="1:9" x14ac:dyDescent="0.25">
      <c r="A28" s="7" t="s">
        <v>91</v>
      </c>
      <c r="B28" s="2" t="str">
        <f>IFERROR(VLOOKUP(TRIM(A28),[1]Medições!$B$2:$I$48,8,FALSE),VLOOKUP(TRIM(A28),[1]PROBLEMAS!$B$2:$I$122,8,FALSE))</f>
        <v>CARLOS FERNANDES</v>
      </c>
      <c r="C28" s="5" t="str">
        <f>VLOOKUP(TRIM(Tabela2[[#This Row],[SEI]]),Tabela3[[Processo SEI]:[Objeto]],5,FALSE)</f>
        <v>INTERLIGAÇÃO DUQUE DE CAXIAS-MAGÉ E PONTE METÁLICA – CAXIAS/RJ</v>
      </c>
      <c r="D28" s="1" t="s">
        <v>92</v>
      </c>
      <c r="E28" s="1" t="s">
        <v>8</v>
      </c>
      <c r="F28" s="1" t="s">
        <v>6</v>
      </c>
      <c r="G28" s="22" t="s">
        <v>7</v>
      </c>
      <c r="H28" s="21" t="s">
        <v>131</v>
      </c>
      <c r="I28" s="41" t="str">
        <f>IFERROR(VLOOKUP(TRIM(Tabela2[[#This Row],[SEI]]),[1]Medições!$B$2:$H$48,7,FALSE),Tabela2[[#This Row],[STATUS_original]])</f>
        <v>EXECUÇÃO</v>
      </c>
    </row>
    <row r="29" spans="1:9" x14ac:dyDescent="0.25">
      <c r="A29" s="7" t="s">
        <v>104</v>
      </c>
      <c r="B29" s="2" t="str">
        <f>IFERROR(VLOOKUP(TRIM(A29),[1]Medições!$B$2:$I$48,8,FALSE),VLOOKUP(TRIM(A29),[1]PROBLEMAS!$B$2:$I$122,8,FALSE))</f>
        <v>CARLOS FERNANDES</v>
      </c>
      <c r="C29" s="5" t="str">
        <f>VLOOKUP(TRIM(Tabela2[[#This Row],[SEI]]),Tabela3[[Processo SEI]:[Objeto]],5,FALSE)</f>
        <v>PAVIMENTAÇÃO E CANALIZAÇÃO DO CANAL RUI BARBOSA – DUQUE DE CAXIAS/RJ</v>
      </c>
      <c r="D29" s="1" t="s">
        <v>105</v>
      </c>
      <c r="E29" s="1" t="s">
        <v>8</v>
      </c>
      <c r="F29" s="1" t="s">
        <v>6</v>
      </c>
      <c r="G29" s="22" t="s">
        <v>7</v>
      </c>
      <c r="H29" s="21" t="s">
        <v>131</v>
      </c>
      <c r="I29" s="41" t="str">
        <f>IFERROR(VLOOKUP(TRIM(Tabela2[[#This Row],[SEI]]),[1]Medições!$B$2:$H$48,7,FALSE),Tabela2[[#This Row],[STATUS_original]])</f>
        <v>EXECUÇÃO</v>
      </c>
    </row>
    <row r="30" spans="1:9" x14ac:dyDescent="0.25">
      <c r="A30" s="7" t="s">
        <v>107</v>
      </c>
      <c r="B30" s="2" t="str">
        <f>IFERROR(VLOOKUP(TRIM(A30),[1]Medições!$B$2:$I$48,8,FALSE),VLOOKUP(TRIM(A30),[1]PROBLEMAS!$B$2:$I$122,8,FALSE))</f>
        <v>CARLOS FERNANDES</v>
      </c>
      <c r="C30" s="5" t="str">
        <f>VLOOKUP(TRIM(Tabela2[[#This Row],[SEI]]),Tabela3[[Processo SEI]:[Objeto]],5,FALSE)</f>
        <v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v>
      </c>
      <c r="D30" s="1" t="s">
        <v>109</v>
      </c>
      <c r="E30" s="1" t="s">
        <v>108</v>
      </c>
      <c r="F30" s="1" t="s">
        <v>6</v>
      </c>
      <c r="G30" s="22" t="s">
        <v>7</v>
      </c>
      <c r="H30" s="21" t="s">
        <v>131</v>
      </c>
      <c r="I30" s="41" t="str">
        <f>IFERROR(VLOOKUP(TRIM(Tabela2[[#This Row],[SEI]]),[1]Medições!$B$2:$H$48,7,FALSE),Tabela2[[#This Row],[STATUS_original]])</f>
        <v>EXECUÇÃO</v>
      </c>
    </row>
    <row r="31" spans="1:9" x14ac:dyDescent="0.25">
      <c r="A31" s="20" t="s">
        <v>265</v>
      </c>
      <c r="B31" s="8" t="str">
        <f>IFERROR(VLOOKUP(TRIM(A31),[1]Medições!$B$2:$I$48,8,FALSE),VLOOKUP(TRIM(A31),[1]PROBLEMAS!$B$2:$I$122,8,FALSE))</f>
        <v>CARLOS FERNANDES</v>
      </c>
      <c r="C31" s="5" t="str">
        <f>VLOOKUP(TRIM(Tabela2[[#This Row],[SEI]]),Tabela3[[Processo SEI]:[Objeto]],5,FALSE)</f>
        <v>OBRA EMERGENCIAL DE DEMOLIÇÃO EM ESTRUTURA ELEVADA NO CENTRO SOCIAL MIGUEL GUSTAVO, SENADOR CAMARÁ- RJ</v>
      </c>
      <c r="D31" s="1" t="s">
        <v>266</v>
      </c>
      <c r="E31" s="1" t="s">
        <v>108</v>
      </c>
      <c r="F31" s="1" t="s">
        <v>49</v>
      </c>
      <c r="G31" s="3" t="s">
        <v>7</v>
      </c>
      <c r="H31" s="8" t="s">
        <v>280</v>
      </c>
      <c r="I31" s="41" t="str">
        <f>IFERROR(VLOOKUP(TRIM(Tabela2[[#This Row],[SEI]]),[1]Medições!$B$2:$H$48,7,FALSE),Tabela2[[#This Row],[STATUS_original]])</f>
        <v>EXECUÇÃO</v>
      </c>
    </row>
    <row r="32" spans="1:9" x14ac:dyDescent="0.25">
      <c r="A32" s="7" t="s">
        <v>44</v>
      </c>
      <c r="B32" s="2" t="str">
        <f>IFERROR(VLOOKUP(TRIM(A32),[1]Medições!$B$2:$I$48,8,FALSE),VLOOKUP(TRIM(A32),[1]PROBLEMAS!$B$2:$I$122,8,FALSE))</f>
        <v>CARLOS FERNANDES</v>
      </c>
      <c r="C32" s="5" t="str">
        <f>VLOOKUP(TRIM(Tabela2[[#This Row],[SEI]]),Tabela3[[Processo SEI]:[Objeto]],5,FALSE)</f>
        <v>RECAPEAMENTO DE LOGRADOUROS EM MAGÉ – RJ</v>
      </c>
      <c r="D32" s="1" t="s">
        <v>47</v>
      </c>
      <c r="E32" s="1" t="s">
        <v>46</v>
      </c>
      <c r="F32" s="1" t="s">
        <v>37</v>
      </c>
      <c r="G32" s="25" t="s">
        <v>45</v>
      </c>
      <c r="H32" s="21" t="s">
        <v>131</v>
      </c>
      <c r="I32" s="41" t="str">
        <f>IFERROR(VLOOKUP(TRIM(Tabela2[[#This Row],[SEI]]),[1]Medições!$B$2:$H$48,7,FALSE),Tabela2[[#This Row],[STATUS_original]])</f>
        <v>SUSPENSA</v>
      </c>
    </row>
    <row r="33" spans="1:9" x14ac:dyDescent="0.25">
      <c r="A33" s="38" t="s">
        <v>287</v>
      </c>
      <c r="B33" s="8" t="str">
        <f>IFERROR(VLOOKUP(TRIM(A33),[1]Medições!$B$2:$I$48,8,FALSE),VLOOKUP(TRIM(A33),[1]PROBLEMAS!$B$2:$I$122,8,FALSE))</f>
        <v>ERICK HYLARIO</v>
      </c>
      <c r="C33" s="5" t="str">
        <f>VLOOKUP(TRIM(Tabela2[[#This Row],[SEI]]),Tabela3[[Processo SEI]:[Objeto]],5,FALSE)</f>
        <v>HOSPITAL COVID-19, NO MUNICÍPIO DE NOVA IGUAÇU</v>
      </c>
      <c r="D33" s="8" t="s">
        <v>289</v>
      </c>
      <c r="E33" s="8" t="s">
        <v>288</v>
      </c>
      <c r="F33" s="8" t="s">
        <v>282</v>
      </c>
      <c r="G33" s="8" t="s">
        <v>71</v>
      </c>
      <c r="H33" s="8" t="s">
        <v>328</v>
      </c>
      <c r="I33" s="41" t="str">
        <f>IFERROR(VLOOKUP(TRIM(Tabela2[[#This Row],[SEI]]),[1]Medições!$B$2:$H$48,7,FALSE),Tabela2[[#This Row],[STATUS_original]])</f>
        <v>ACEITE DEFINITIVO</v>
      </c>
    </row>
    <row r="34" spans="1:9" x14ac:dyDescent="0.25">
      <c r="A34" s="38" t="s">
        <v>290</v>
      </c>
      <c r="B34" s="8" t="str">
        <f>IFERROR(VLOOKUP(TRIM(A34),[1]Medições!$B$2:$I$48,8,FALSE),VLOOKUP(TRIM(A34),[1]PROBLEMAS!$B$2:$I$122,8,FALSE))</f>
        <v>ERICK HYLARIO</v>
      </c>
      <c r="C34" s="5" t="str">
        <f>VLOOKUP(TRIM(Tabela2[[#This Row],[SEI]]),Tabela3[[Processo SEI]:[Objeto]],5,FALSE)</f>
        <v>CONCLUSÃO DAS OBRAS DA NOVA SEDE DO MIS – RIO DE JANEIRO</v>
      </c>
      <c r="D34" s="8" t="s">
        <v>292</v>
      </c>
      <c r="E34" s="8" t="s">
        <v>108</v>
      </c>
      <c r="F34" s="8" t="s">
        <v>291</v>
      </c>
      <c r="G34" s="8" t="s">
        <v>7</v>
      </c>
      <c r="H34" s="8" t="s">
        <v>328</v>
      </c>
      <c r="I34" s="41" t="str">
        <f>IFERROR(VLOOKUP(TRIM(Tabela2[[#This Row],[SEI]]),[1]Medições!$B$2:$H$48,7,FALSE),Tabela2[[#This Row],[STATUS_original]])</f>
        <v>EXECUÇÃO</v>
      </c>
    </row>
    <row r="35" spans="1:9" x14ac:dyDescent="0.25">
      <c r="A35" s="38" t="s">
        <v>298</v>
      </c>
      <c r="B35" s="8" t="str">
        <f>IFERROR(VLOOKUP(TRIM(A35),[1]Medições!$B$2:$I$48,8,FALSE),VLOOKUP(TRIM(A35),[1]PROBLEMAS!$B$2:$I$122,8,FALSE))</f>
        <v>ERICK HYLARIO</v>
      </c>
      <c r="C35" s="5" t="str">
        <f>VLOOKUP(TRIM(Tabela2[[#This Row],[SEI]]),Tabela3[[Processo SEI]:[Objeto]],5,FALSE)</f>
        <v>REFAZIMENTO DAS FACHADAS DO MIS - NOVA SEDE - 2023</v>
      </c>
      <c r="D35" s="8" t="s">
        <v>300</v>
      </c>
      <c r="E35" s="8" t="s">
        <v>108</v>
      </c>
      <c r="F35" s="8" t="s">
        <v>299</v>
      </c>
      <c r="G35" s="8" t="s">
        <v>7</v>
      </c>
      <c r="H35" s="8" t="s">
        <v>328</v>
      </c>
      <c r="I35" s="41" t="str">
        <f>IFERROR(VLOOKUP(TRIM(Tabela2[[#This Row],[SEI]]),[1]Medições!$B$2:$H$48,7,FALSE),Tabela2[[#This Row],[STATUS_original]])</f>
        <v>EXECUÇÃO</v>
      </c>
    </row>
    <row r="36" spans="1:9" x14ac:dyDescent="0.25">
      <c r="A36" s="38" t="s">
        <v>301</v>
      </c>
      <c r="B36" s="8" t="str">
        <f>IFERROR(VLOOKUP(TRIM(A36),[1]Medições!$B$2:$I$48,8,FALSE),VLOOKUP(TRIM(A36),[1]PROBLEMAS!$B$2:$I$122,8,FALSE))</f>
        <v>ERICK HYLARIO</v>
      </c>
      <c r="C36" s="5" t="str">
        <f>VLOOKUP(TRIM(Tabela2[[#This Row],[SEI]]),Tabela3[[Processo SEI]:[Objeto]],5,FALSE)</f>
        <v>PAINÉIS DE MARCENARIA DO MIS</v>
      </c>
      <c r="D36" s="8" t="s">
        <v>188</v>
      </c>
      <c r="E36" s="8" t="s">
        <v>108</v>
      </c>
      <c r="F36" s="8" t="s">
        <v>294</v>
      </c>
      <c r="G36" s="8" t="s">
        <v>7</v>
      </c>
      <c r="H36" s="8" t="s">
        <v>328</v>
      </c>
      <c r="I36" s="41" t="str">
        <f>IFERROR(VLOOKUP(TRIM(Tabela2[[#This Row],[SEI]]),[1]Medições!$B$2:$H$48,7,FALSE),Tabela2[[#This Row],[STATUS_original]])</f>
        <v>EXECUÇÃO</v>
      </c>
    </row>
    <row r="37" spans="1:9" x14ac:dyDescent="0.25">
      <c r="A37" s="38" t="s">
        <v>302</v>
      </c>
      <c r="B37" s="8" t="str">
        <f>IFERROR(VLOOKUP(TRIM(A37),[1]Medições!$B$2:$I$48,8,FALSE),VLOOKUP(TRIM(A37),[1]PROBLEMAS!$B$2:$I$122,8,FALSE))</f>
        <v>ERICK HYLARIO</v>
      </c>
      <c r="C37" s="5" t="str">
        <f>VLOOKUP(TRIM(Tabela2[[#This Row],[SEI]]),Tabela3[[Processo SEI]:[Objeto]],5,FALSE)</f>
        <v>RECUPERAÇÃO DE EQUIPAMENTOS DO TELEFÉRICO DO ALEMÃO - RJ</v>
      </c>
      <c r="D37" s="8" t="s">
        <v>303</v>
      </c>
      <c r="E37" s="8" t="s">
        <v>108</v>
      </c>
      <c r="F37" s="8" t="s">
        <v>299</v>
      </c>
      <c r="G37" s="8" t="s">
        <v>7</v>
      </c>
      <c r="H37" s="8" t="s">
        <v>328</v>
      </c>
      <c r="I37" s="41" t="str">
        <f>IFERROR(VLOOKUP(TRIM(Tabela2[[#This Row],[SEI]]),[1]Medições!$B$2:$H$48,7,FALSE),Tabela2[[#This Row],[STATUS_original]])</f>
        <v>EXECUÇÃO</v>
      </c>
    </row>
    <row r="38" spans="1:9" x14ac:dyDescent="0.25">
      <c r="A38" s="38" t="s">
        <v>307</v>
      </c>
      <c r="B38" s="8" t="str">
        <f>IFERROR(VLOOKUP(TRIM(A38),[1]Medições!$B$2:$I$48,8,FALSE),VLOOKUP(TRIM(A38),[1]PROBLEMAS!$B$2:$I$122,8,FALSE))</f>
        <v>ERICK HYLARIO</v>
      </c>
      <c r="C38" s="5" t="str">
        <f>VLOOKUP(TRIM(Tabela2[[#This Row],[SEI]]),Tabela3[[Processo SEI]:[Objeto]],5,FALSE)</f>
        <v>RECUPERAÇÃO DO TÚNEL EXTRAVASOR EM PETRÓPOLIS</v>
      </c>
      <c r="D38" s="8" t="s">
        <v>309</v>
      </c>
      <c r="E38" s="8" t="s">
        <v>308</v>
      </c>
      <c r="F38" s="8" t="s">
        <v>282</v>
      </c>
      <c r="G38" s="8" t="s">
        <v>16</v>
      </c>
      <c r="H38" s="8" t="s">
        <v>328</v>
      </c>
      <c r="I38" s="41" t="str">
        <f>IFERROR(VLOOKUP(TRIM(Tabela2[[#This Row],[SEI]]),[1]Medições!$B$2:$H$48,7,FALSE),Tabela2[[#This Row],[STATUS_original]])</f>
        <v>ACEITE PROVISORIO</v>
      </c>
    </row>
    <row r="39" spans="1:9" x14ac:dyDescent="0.25">
      <c r="A39" s="38" t="s">
        <v>311</v>
      </c>
      <c r="B39" s="8" t="str">
        <f>IFERROR(VLOOKUP(TRIM(A39),[1]Medições!$B$2:$I$48,8,FALSE),VLOOKUP(TRIM(A39),[1]PROBLEMAS!$B$2:$I$122,8,FALSE))</f>
        <v>ERICK HYLARIO</v>
      </c>
      <c r="C39" s="5" t="str">
        <f>VLOOKUP(TRIM(Tabela2[[#This Row],[SEI]]),Tabela3[[Processo SEI]:[Objeto]],5,FALSE)</f>
        <v>CONCLUSÃO DO HOSPITAL DE ONCOLOGIA EM NOVA FRIBURGO</v>
      </c>
      <c r="D39" s="8" t="s">
        <v>313</v>
      </c>
      <c r="E39" s="8" t="s">
        <v>167</v>
      </c>
      <c r="F39" s="8" t="s">
        <v>312</v>
      </c>
      <c r="G39" s="8" t="s">
        <v>7</v>
      </c>
      <c r="H39" s="8" t="s">
        <v>328</v>
      </c>
      <c r="I39" s="41" t="str">
        <f>IFERROR(VLOOKUP(TRIM(Tabela2[[#This Row],[SEI]]),[1]Medições!$B$2:$H$48,7,FALSE),Tabela2[[#This Row],[STATUS_original]])</f>
        <v>EXECUÇÃO</v>
      </c>
    </row>
    <row r="40" spans="1:9" x14ac:dyDescent="0.25">
      <c r="A40" s="38" t="s">
        <v>314</v>
      </c>
      <c r="B40" s="8" t="str">
        <f>IFERROR(VLOOKUP(TRIM(A40),[1]Medições!$B$2:$I$48,8,FALSE),VLOOKUP(TRIM(A40),[1]PROBLEMAS!$B$2:$I$122,8,FALSE))</f>
        <v>ERICK HYLARIO</v>
      </c>
      <c r="C40" s="5" t="str">
        <f>VLOOKUP(TRIM(Tabela2[[#This Row],[SEI]]),Tabela3[[Processo SEI]:[Objeto]],5,FALSE)</f>
        <v>CONCLUSÃO DAS OBRAS DO MUSEU DA IMAGEM E DO SOM - COPACABANA - RJ</v>
      </c>
      <c r="D40" s="8" t="s">
        <v>303</v>
      </c>
      <c r="E40" s="8" t="s">
        <v>108</v>
      </c>
      <c r="F40" s="8" t="s">
        <v>282</v>
      </c>
      <c r="G40" s="8" t="s">
        <v>21</v>
      </c>
      <c r="H40" s="8" t="s">
        <v>328</v>
      </c>
      <c r="I40" s="41" t="str">
        <f>IFERROR(VLOOKUP(TRIM(Tabela2[[#This Row],[SEI]]),[1]Medições!$B$2:$H$48,7,FALSE),Tabela2[[#This Row],[STATUS_original]])</f>
        <v>DISTRATO</v>
      </c>
    </row>
    <row r="41" spans="1:9" x14ac:dyDescent="0.25">
      <c r="A41" s="38" t="s">
        <v>315</v>
      </c>
      <c r="B41" s="8" t="str">
        <f>IFERROR(VLOOKUP(TRIM(A41),[1]Medições!$B$2:$I$48,8,FALSE),VLOOKUP(TRIM(A41),[1]PROBLEMAS!$B$2:$I$122,8,FALSE))</f>
        <v>ERICK HYLARIO</v>
      </c>
      <c r="C41" s="5" t="str">
        <f>VLOOKUP(TRIM(Tabela2[[#This Row],[SEI]]),Tabela3[[Processo SEI]:[Objeto]],5,FALSE)</f>
        <v>OBRAS DE ILUMINAÇÃO E ACABAMENTOS - MUSEU DA IMAGEM E DO SOM - COPACABANA - RJ</v>
      </c>
      <c r="D41" s="8" t="s">
        <v>303</v>
      </c>
      <c r="E41" s="8" t="s">
        <v>108</v>
      </c>
      <c r="F41" s="8" t="s">
        <v>282</v>
      </c>
      <c r="G41" s="8" t="s">
        <v>21</v>
      </c>
      <c r="H41" s="8" t="s">
        <v>328</v>
      </c>
      <c r="I41" s="41" t="str">
        <f>IFERROR(VLOOKUP(TRIM(Tabela2[[#This Row],[SEI]]),[1]Medições!$B$2:$H$48,7,FALSE),Tabela2[[#This Row],[STATUS_original]])</f>
        <v>DISTRATO</v>
      </c>
    </row>
    <row r="42" spans="1:9" x14ac:dyDescent="0.25">
      <c r="A42" s="38" t="s">
        <v>323</v>
      </c>
      <c r="B42" s="8" t="str">
        <f>IFERROR(VLOOKUP(TRIM(A42),[1]Medições!$B$2:$I$48,8,FALSE),VLOOKUP(TRIM(A42),[1]PROBLEMAS!$B$2:$I$122,8,FALSE))</f>
        <v>ERICK HYLARIO</v>
      </c>
      <c r="C42" s="5" t="str">
        <f>VLOOKUP(TRIM(Tabela2[[#This Row],[SEI]]),Tabela3[[Processo SEI]:[Objeto]],5,FALSE)</f>
        <v>RECUPERAÇÃO DAS ESTAÇÕES DO TELEFÉRICO DO ALEMÃO – RJ</v>
      </c>
      <c r="D42" s="8" t="s">
        <v>103</v>
      </c>
      <c r="E42" s="8" t="s">
        <v>108</v>
      </c>
      <c r="F42" s="8" t="s">
        <v>299</v>
      </c>
      <c r="G42" s="8" t="s">
        <v>16</v>
      </c>
      <c r="H42" s="8" t="s">
        <v>328</v>
      </c>
      <c r="I42" s="41" t="str">
        <f>IFERROR(VLOOKUP(TRIM(Tabela2[[#This Row],[SEI]]),[1]Medições!$B$2:$H$48,7,FALSE),Tabela2[[#This Row],[STATUS_original]])</f>
        <v>ACEITE PROVISORIO</v>
      </c>
    </row>
    <row r="43" spans="1:9" x14ac:dyDescent="0.25">
      <c r="A43" s="38" t="s">
        <v>326</v>
      </c>
      <c r="B43" s="8" t="str">
        <f>IFERROR(VLOOKUP(TRIM(A43),[1]Medições!$B$2:$I$48,8,FALSE),VLOOKUP(TRIM(A43),[1]PROBLEMAS!$B$2:$I$122,8,FALSE))</f>
        <v>ERICK HYLARIO</v>
      </c>
      <c r="C43" s="5" t="str">
        <f>VLOOKUP(TRIM(Tabela2[[#This Row],[SEI]]),Tabela3[[Processo SEI]:[Objeto]],5,FALSE)</f>
        <v>AQUISIÇÃO DE EQUIPAMENTOS PARA TELEFÉRICO DO ALEMÃO – RJ</v>
      </c>
      <c r="D43" s="8" t="s">
        <v>327</v>
      </c>
      <c r="E43" s="8" t="s">
        <v>108</v>
      </c>
      <c r="F43" s="8"/>
      <c r="G43" s="8" t="s">
        <v>7</v>
      </c>
      <c r="H43" s="8" t="s">
        <v>328</v>
      </c>
      <c r="I43" s="41" t="str">
        <f>IFERROR(VLOOKUP(TRIM(Tabela2[[#This Row],[SEI]]),[1]Medições!$B$2:$H$48,7,FALSE),Tabela2[[#This Row],[STATUS_original]])</f>
        <v>EXECUÇÃO</v>
      </c>
    </row>
    <row r="44" spans="1:9" x14ac:dyDescent="0.25">
      <c r="A44" s="7" t="s">
        <v>10</v>
      </c>
      <c r="B44" s="2" t="str">
        <f>IFERROR(VLOOKUP(TRIM(A44),[1]Medições!$B$2:$I$48,8,FALSE),VLOOKUP(TRIM(A44),[1]PROBLEMAS!$B$2:$I$122,8,FALSE))</f>
        <v>GISELLE G. FONSECA</v>
      </c>
      <c r="C44" s="5" t="str">
        <f>VLOOKUP(TRIM(Tabela2[[#This Row],[SEI]]),Tabela3[[Processo SEI]:[Objeto]],5,FALSE)</f>
        <v>MACRODRENAGEM DO CANAL VILA CANAAN - DUQUE DE CAXIAS</v>
      </c>
      <c r="D44" s="1" t="s">
        <v>13</v>
      </c>
      <c r="E44" s="1" t="s">
        <v>8</v>
      </c>
      <c r="F44" s="1" t="s">
        <v>11</v>
      </c>
      <c r="G44" s="23" t="s">
        <v>12</v>
      </c>
      <c r="H44" s="21" t="s">
        <v>131</v>
      </c>
      <c r="I44" s="41" t="str">
        <f>IFERROR(VLOOKUP(TRIM(Tabela2[[#This Row],[SEI]]),[1]Medições!$B$2:$H$48,7,FALSE),Tabela2[[#This Row],[STATUS_original]])</f>
        <v>CONCLUIDA</v>
      </c>
    </row>
    <row r="45" spans="1:9" x14ac:dyDescent="0.25">
      <c r="A45" s="7" t="s">
        <v>23</v>
      </c>
      <c r="B45" s="1" t="str">
        <f>IFERROR(VLOOKUP(TRIM(A45),[1]Medições!$B$2:$I$48,8,FALSE),VLOOKUP(TRIM(A45),[1]PROBLEMAS!$B$2:$I$122,8,FALSE))</f>
        <v>GISELLE G. FONSECA</v>
      </c>
      <c r="C45" s="5" t="str">
        <f>VLOOKUP(TRIM(Tabela2[[#This Row],[SEI]]),Tabela3[[Processo SEI]:[Objeto]],5,FALSE)</f>
        <v>PROJETO EXECUTIVO E EXECUÇÃO DE OBRAS DE DRENAGEM, PAVIMENTAÇÃO E INFRAESTRUTURA – SÃO JOSÉ – JAPERI/RJ</v>
      </c>
      <c r="D45" s="1" t="s">
        <v>25</v>
      </c>
      <c r="E45" s="1" t="s">
        <v>17</v>
      </c>
      <c r="F45" s="1" t="s">
        <v>24</v>
      </c>
      <c r="G45" s="24" t="s">
        <v>21</v>
      </c>
      <c r="H45" s="21" t="s">
        <v>131</v>
      </c>
      <c r="I45" s="41" t="str">
        <f>IFERROR(VLOOKUP(TRIM(Tabela2[[#This Row],[SEI]]),[1]Medições!$B$2:$H$48,7,FALSE),Tabela2[[#This Row],[STATUS_original]])</f>
        <v>DISTRATO</v>
      </c>
    </row>
    <row r="46" spans="1:9" x14ac:dyDescent="0.25">
      <c r="A46" s="20" t="s">
        <v>41</v>
      </c>
      <c r="B46" s="1" t="str">
        <f>IFERROR(VLOOKUP(TRIM(A46),[1]Medições!$B$2:$I$48,8,FALSE),VLOOKUP(TRIM(A46),[1]PROBLEMAS!$B$2:$I$122,8,FALSE))</f>
        <v>GISELLE G. FONSECA</v>
      </c>
      <c r="C46" s="5" t="str">
        <f>VLOOKUP(TRIM(Tabela2[[#This Row],[SEI]]),Tabela3[[Processo SEI]:[Objeto]],5,FALSE)</f>
        <v>REVITALIZAÇÃO DA CICLOVIA E CALÇADA DA ORLA DA PRAIA DO SACO - MANGARATIBA/RJ</v>
      </c>
      <c r="D46" s="1" t="s">
        <v>43</v>
      </c>
      <c r="E46" s="1" t="s">
        <v>42</v>
      </c>
      <c r="F46" s="1" t="s">
        <v>24</v>
      </c>
      <c r="G46" s="23" t="s">
        <v>12</v>
      </c>
      <c r="H46" s="21" t="s">
        <v>131</v>
      </c>
      <c r="I46" s="41" t="str">
        <f>IFERROR(VLOOKUP(TRIM(Tabela2[[#This Row],[SEI]]),[1]Medições!$B$2:$H$48,7,FALSE),Tabela2[[#This Row],[STATUS_original]])</f>
        <v>CONCLUIDA</v>
      </c>
    </row>
    <row r="47" spans="1:9" x14ac:dyDescent="0.25">
      <c r="A47" s="7" t="s">
        <v>54</v>
      </c>
      <c r="B47" s="1" t="str">
        <f>IFERROR(VLOOKUP(TRIM(A47),[1]Medições!$B$2:$I$48,8,FALSE),VLOOKUP(TRIM(A47),[1]PROBLEMAS!$B$2:$I$122,8,FALSE))</f>
        <v>GISELLE G. FONSECA</v>
      </c>
      <c r="C47" s="5" t="str">
        <f>VLOOKUP(TRIM(Tabela2[[#This Row],[SEI]]),Tabela3[[Processo SEI]:[Objeto]],5,FALSE)</f>
        <v>IMPLANTAÇÃO DE CICLOVIA E CALÇADA NA ESTRADA ZUMBI – NOVA IGUAÇU/RJ</v>
      </c>
      <c r="D47" s="1" t="s">
        <v>53</v>
      </c>
      <c r="E47" s="1" t="s">
        <v>39</v>
      </c>
      <c r="F47" s="1" t="s">
        <v>34</v>
      </c>
      <c r="G47" s="22" t="s">
        <v>21</v>
      </c>
      <c r="H47" s="21" t="s">
        <v>131</v>
      </c>
      <c r="I47" s="41" t="str">
        <f>IFERROR(VLOOKUP(TRIM(Tabela2[[#This Row],[SEI]]),[1]Medições!$B$2:$H$48,7,FALSE),Tabela2[[#This Row],[STATUS_original]])</f>
        <v>DISTRATO</v>
      </c>
    </row>
    <row r="48" spans="1:9" x14ac:dyDescent="0.25">
      <c r="A48" s="7" t="s">
        <v>57</v>
      </c>
      <c r="B48" s="2" t="str">
        <f>IFERROR(VLOOKUP(TRIM(A48),[1]Medições!$B$2:$I$48,8,FALSE),VLOOKUP(TRIM(A48),[1]PROBLEMAS!$B$2:$I$122,8,FALSE))</f>
        <v>GISELLE G. FONSECA</v>
      </c>
      <c r="C48" s="5" t="str">
        <f>VLOOKUP(TRIM(Tabela2[[#This Row],[SEI]]),Tabela3[[Processo SEI]:[Objeto]],5,FALSE)</f>
        <v>MACRODRENAGEM DO CANAL VASQUINHO – DUQUE DE CAXIAS/RJ</v>
      </c>
      <c r="D48" s="1" t="s">
        <v>59</v>
      </c>
      <c r="E48" s="1" t="s">
        <v>8</v>
      </c>
      <c r="F48" s="1" t="s">
        <v>58</v>
      </c>
      <c r="G48" s="23" t="s">
        <v>12</v>
      </c>
      <c r="H48" s="21" t="s">
        <v>131</v>
      </c>
      <c r="I48" s="41" t="str">
        <f>IFERROR(VLOOKUP(TRIM(Tabela2[[#This Row],[SEI]]),[1]Medições!$B$2:$H$48,7,FALSE),Tabela2[[#This Row],[STATUS_original]])</f>
        <v>CONCLUIDA</v>
      </c>
    </row>
    <row r="49" spans="1:9" x14ac:dyDescent="0.25">
      <c r="A49" s="7" t="s">
        <v>64</v>
      </c>
      <c r="B49" s="1" t="str">
        <f>IFERROR(VLOOKUP(TRIM(A49),[1]Medições!$B$2:$I$48,8,FALSE),VLOOKUP(TRIM(A49),[1]PROBLEMAS!$B$2:$I$122,8,FALSE))</f>
        <v>GISELLE G. FONSECA</v>
      </c>
      <c r="C49" s="5" t="str">
        <f>VLOOKUP(TRIM(Tabela2[[#This Row],[SEI]]),Tabela3[[Processo SEI]:[Objeto]],5,FALSE)</f>
        <v>PAVIMENTAÇÃO, DRENAGEM E PONTE NA ESTRADA TIRADENTES – PARAÍBA DO SUL/RJ</v>
      </c>
      <c r="D49" s="1" t="s">
        <v>66</v>
      </c>
      <c r="E49" s="1" t="s">
        <v>65</v>
      </c>
      <c r="F49" s="1" t="s">
        <v>20</v>
      </c>
      <c r="G49" s="23" t="s">
        <v>12</v>
      </c>
      <c r="H49" s="21" t="s">
        <v>131</v>
      </c>
      <c r="I49" s="41" t="str">
        <f>IFERROR(VLOOKUP(TRIM(Tabela2[[#This Row],[SEI]]),[1]Medições!$B$2:$H$48,7,FALSE),Tabela2[[#This Row],[STATUS_original]])</f>
        <v>CONCLUIDA</v>
      </c>
    </row>
    <row r="50" spans="1:9" x14ac:dyDescent="0.25">
      <c r="A50" s="7" t="s">
        <v>67</v>
      </c>
      <c r="B50" s="1" t="str">
        <f>IFERROR(VLOOKUP(TRIM(A50),[1]Medições!$B$2:$I$48,8,FALSE),VLOOKUP(TRIM(A50),[1]PROBLEMAS!$B$2:$I$122,8,FALSE))</f>
        <v>GISELLE G. FONSECA</v>
      </c>
      <c r="C50" s="5" t="str">
        <f>VLOOKUP(TRIM(Tabela2[[#This Row],[SEI]]),Tabela3[[Processo SEI]:[Objeto]],5,FALSE)</f>
        <v>REVITALIZAÇÃO DAS PRAÇAS CURUPAITI, BREJAL E BELA VISTA - PARAÍBA DO SUL/RJ</v>
      </c>
      <c r="D50" s="1" t="s">
        <v>68</v>
      </c>
      <c r="E50" s="1" t="s">
        <v>65</v>
      </c>
      <c r="F50" s="1" t="s">
        <v>20</v>
      </c>
      <c r="G50" s="23" t="s">
        <v>12</v>
      </c>
      <c r="H50" s="21" t="s">
        <v>131</v>
      </c>
      <c r="I50" s="41" t="str">
        <f>IFERROR(VLOOKUP(TRIM(Tabela2[[#This Row],[SEI]]),[1]Medições!$B$2:$H$48,7,FALSE),Tabela2[[#This Row],[STATUS_original]])</f>
        <v>CONCLUIDA</v>
      </c>
    </row>
    <row r="51" spans="1:9" x14ac:dyDescent="0.25">
      <c r="A51" s="7" t="s">
        <v>72</v>
      </c>
      <c r="B51" s="1" t="str">
        <f>IFERROR(VLOOKUP(TRIM(A51),[1]Medições!$B$2:$I$48,8,FALSE),VLOOKUP(TRIM(A51),[1]PROBLEMAS!$B$2:$I$122,8,FALSE))</f>
        <v>GISELLE G. FONSECA</v>
      </c>
      <c r="C51" s="5" t="str">
        <f>VLOOKUP(TRIM(Tabela2[[#This Row],[SEI]]),Tabela3[[Processo SEI]:[Objeto]],5,FALSE)</f>
        <v>CANALIZAÇÃO DO CANAL DO LEITÃO - MANGARATIBA/RJ</v>
      </c>
      <c r="D51" s="1" t="s">
        <v>74</v>
      </c>
      <c r="E51" s="1" t="s">
        <v>42</v>
      </c>
      <c r="F51" s="1" t="s">
        <v>73</v>
      </c>
      <c r="G51" s="25" t="s">
        <v>45</v>
      </c>
      <c r="H51" s="21" t="s">
        <v>131</v>
      </c>
      <c r="I51" s="41" t="str">
        <f>IFERROR(VLOOKUP(TRIM(Tabela2[[#This Row],[SEI]]),[1]Medições!$B$2:$H$48,7,FALSE),Tabela2[[#This Row],[STATUS_original]])</f>
        <v>SUSPENSA</v>
      </c>
    </row>
    <row r="52" spans="1:9" x14ac:dyDescent="0.25">
      <c r="A52" s="7" t="s">
        <v>79</v>
      </c>
      <c r="B52" s="1" t="str">
        <f>IFERROR(VLOOKUP(TRIM(A52),[1]Medições!$B$2:$I$48,8,FALSE),VLOOKUP(TRIM(A52),[1]PROBLEMAS!$B$2:$I$122,8,FALSE))</f>
        <v>GISELLE G. FONSECA</v>
      </c>
      <c r="C52" s="5" t="str">
        <f>VLOOKUP(TRIM(Tabela2[[#This Row],[SEI]]),Tabela3[[Processo SEI]:[Objeto]],5,FALSE)</f>
        <v>RECUPERAÇÃO DE PAVIMENTAÇÃO E SINALIZAÇÃO EM DUQUE DE CAXIAS</v>
      </c>
      <c r="D52" s="1" t="s">
        <v>81</v>
      </c>
      <c r="E52" s="1" t="s">
        <v>8</v>
      </c>
      <c r="F52" s="1" t="s">
        <v>80</v>
      </c>
      <c r="G52" s="22" t="s">
        <v>16</v>
      </c>
      <c r="H52" s="21" t="s">
        <v>131</v>
      </c>
      <c r="I52" s="41" t="str">
        <f>IFERROR(VLOOKUP(TRIM(Tabela2[[#This Row],[SEI]]),[1]Medições!$B$2:$H$48,7,FALSE),Tabela2[[#This Row],[STATUS_original]])</f>
        <v>ACEITE PROVISORIO</v>
      </c>
    </row>
    <row r="53" spans="1:9" x14ac:dyDescent="0.25">
      <c r="A53" s="7" t="s">
        <v>87</v>
      </c>
      <c r="B53" s="2" t="str">
        <f>IFERROR(VLOOKUP(TRIM(A53),[1]Medições!$B$2:$I$48,8,FALSE),VLOOKUP(TRIM(A53),[1]PROBLEMAS!$B$2:$I$122,8,FALSE))</f>
        <v>GISELLE G. FONSECA</v>
      </c>
      <c r="C53" s="5" t="str">
        <f>VLOOKUP(TRIM(Tabela2[[#This Row],[SEI]]),Tabela3[[Processo SEI]:[Objeto]],5,FALSE)</f>
        <v>DRENAGEM PLUVIAL E PAVIMENTAÇÃO NO BAIRRO VALDARIOSA – QUEIMADOS/RJ</v>
      </c>
      <c r="D53" s="1" t="s">
        <v>74</v>
      </c>
      <c r="E53" s="1" t="s">
        <v>52</v>
      </c>
      <c r="F53" s="1" t="s">
        <v>88</v>
      </c>
      <c r="G53" s="22" t="s">
        <v>16</v>
      </c>
      <c r="H53" s="21" t="s">
        <v>131</v>
      </c>
      <c r="I53" s="41" t="str">
        <f>IFERROR(VLOOKUP(TRIM(Tabela2[[#This Row],[SEI]]),[1]Medições!$B$2:$H$48,7,FALSE),Tabela2[[#This Row],[STATUS_original]])</f>
        <v>ACEITE PROVISORIO</v>
      </c>
    </row>
    <row r="54" spans="1:9" x14ac:dyDescent="0.25">
      <c r="A54" s="7" t="s">
        <v>93</v>
      </c>
      <c r="B54" s="1" t="str">
        <f>IFERROR(VLOOKUP(TRIM(A54),[1]Medições!$B$2:$I$48,8,FALSE),VLOOKUP(TRIM(A54),[1]PROBLEMAS!$B$2:$I$122,8,FALSE))</f>
        <v>GISELLE G. FONSECA</v>
      </c>
      <c r="C54" s="5" t="str">
        <f>VLOOKUP(TRIM(Tabela2[[#This Row],[SEI]]),Tabela3[[Processo SEI]:[Objeto]],5,FALSE)</f>
        <v>URBANIZAÇÃO DAS ÁREAS LINDEIRAS AO RIO CAMORIM – QUEIMADOS/RJ</v>
      </c>
      <c r="D54" s="1" t="s">
        <v>94</v>
      </c>
      <c r="E54" s="1" t="s">
        <v>52</v>
      </c>
      <c r="F54" s="1" t="s">
        <v>88</v>
      </c>
      <c r="G54" s="24" t="s">
        <v>71</v>
      </c>
      <c r="H54" s="21" t="s">
        <v>131</v>
      </c>
      <c r="I54" s="41" t="str">
        <f>IFERROR(VLOOKUP(TRIM(Tabela2[[#This Row],[SEI]]),[1]Medições!$B$2:$H$48,7,FALSE),Tabela2[[#This Row],[STATUS_original]])</f>
        <v>ACEITE DEFINITIVO</v>
      </c>
    </row>
    <row r="55" spans="1:9" x14ac:dyDescent="0.25">
      <c r="A55" s="7" t="s">
        <v>95</v>
      </c>
      <c r="B55" s="1" t="str">
        <f>IFERROR(VLOOKUP(TRIM(A55),[1]Medições!$B$2:$I$48,8,FALSE),VLOOKUP(TRIM(A55),[1]PROBLEMAS!$B$2:$I$122,8,FALSE))</f>
        <v>GISELLE G. FONSECA</v>
      </c>
      <c r="C55" s="5" t="str">
        <f>VLOOKUP(TRIM(Tabela2[[#This Row],[SEI]]),Tabela3[[Processo SEI]:[Objeto]],5,FALSE)</f>
        <v>PAVIMENTAÇÃO E DRENAGEM – ESTRADA RIO DAS PEDRAS – RIO CLARO-RJ</v>
      </c>
      <c r="D55" s="1" t="s">
        <v>97</v>
      </c>
      <c r="E55" s="1" t="s">
        <v>96</v>
      </c>
      <c r="F55" s="1" t="s">
        <v>70</v>
      </c>
      <c r="G55" s="23" t="s">
        <v>21</v>
      </c>
      <c r="H55" s="21" t="s">
        <v>131</v>
      </c>
      <c r="I55" s="41" t="str">
        <f>IFERROR(VLOOKUP(TRIM(Tabela2[[#This Row],[SEI]]),[1]Medições!$B$2:$H$48,7,FALSE),Tabela2[[#This Row],[STATUS_original]])</f>
        <v>DISTRATO</v>
      </c>
    </row>
    <row r="56" spans="1:9" x14ac:dyDescent="0.25">
      <c r="A56" s="7" t="s">
        <v>106</v>
      </c>
      <c r="B56" s="1" t="str">
        <f>IFERROR(VLOOKUP(TRIM(A56),[1]Medições!$B$2:$I$48,8,FALSE),VLOOKUP(TRIM(A56),[1]PROBLEMAS!$B$2:$I$122,8,FALSE))</f>
        <v>GISELLE G. FONSECA</v>
      </c>
      <c r="C56" s="5" t="str">
        <f>VLOOKUP(TRIM(Tabela2[[#This Row],[SEI]]),Tabela3[[Processo SEI]:[Objeto]],5,FALSE)</f>
        <v>ESTABILIZAÇÃO DE ENCOSTA DA RUA DIAMANTINA - BELFORD ROXO</v>
      </c>
      <c r="D56" s="1" t="s">
        <v>100</v>
      </c>
      <c r="E56" s="1" t="s">
        <v>99</v>
      </c>
      <c r="F56" s="1" t="s">
        <v>80</v>
      </c>
      <c r="G56" s="23" t="s">
        <v>12</v>
      </c>
      <c r="H56" s="21" t="s">
        <v>131</v>
      </c>
      <c r="I56" s="41" t="str">
        <f>IFERROR(VLOOKUP(TRIM(Tabela2[[#This Row],[SEI]]),[1]Medições!$B$2:$H$48,7,FALSE),Tabela2[[#This Row],[STATUS_original]])</f>
        <v>CONCLUIDA</v>
      </c>
    </row>
    <row r="57" spans="1:9" x14ac:dyDescent="0.25">
      <c r="A57" s="7" t="s">
        <v>110</v>
      </c>
      <c r="B57" s="1" t="str">
        <f>IFERROR(VLOOKUP(TRIM(A57),[1]Medições!$B$2:$I$48,8,FALSE),VLOOKUP(TRIM(A57),[1]PROBLEMAS!$B$2:$I$122,8,FALSE))</f>
        <v>GISELLE G. FONSECA</v>
      </c>
      <c r="C57" s="5" t="str">
        <f>VLOOKUP(TRIM(Tabela2[[#This Row],[SEI]]),Tabela3[[Processo SEI]:[Objeto]],5,FALSE)</f>
        <v>INFRAESTRUTURA E URBANIZAÇÃO NO SÃO JOÃO DE MERITI – RJ</v>
      </c>
      <c r="D57" s="1" t="s">
        <v>74</v>
      </c>
      <c r="E57" s="1" t="s">
        <v>31</v>
      </c>
      <c r="F57" s="1" t="s">
        <v>73</v>
      </c>
      <c r="G57" s="22" t="s">
        <v>12</v>
      </c>
      <c r="H57" s="21" t="s">
        <v>131</v>
      </c>
      <c r="I57" s="41" t="str">
        <f>IFERROR(VLOOKUP(TRIM(Tabela2[[#This Row],[SEI]]),[1]Medições!$B$2:$H$48,7,FALSE),Tabela2[[#This Row],[STATUS_original]])</f>
        <v>CONCLUIDA</v>
      </c>
    </row>
    <row r="58" spans="1:9" x14ac:dyDescent="0.25">
      <c r="A58" s="7" t="s">
        <v>111</v>
      </c>
      <c r="B58" s="1" t="str">
        <f>IFERROR(VLOOKUP(TRIM(A58),[1]Medições!$B$2:$I$48,8,FALSE),VLOOKUP(TRIM(A58),[1]PROBLEMAS!$B$2:$I$122,8,FALSE))</f>
        <v>GISELLE G. FONSECA</v>
      </c>
      <c r="C58" s="5" t="str">
        <f>VLOOKUP(TRIM(Tabela2[[#This Row],[SEI]]),Tabela3[[Processo SEI]:[Objeto]],5,FALSE)</f>
        <v>DRENAGEM E PAVIMENTAÇÃO - MIGUEL PEREIRA/RJ</v>
      </c>
      <c r="D58" s="1" t="s">
        <v>74</v>
      </c>
      <c r="E58" s="1" t="s">
        <v>102</v>
      </c>
      <c r="F58" s="1" t="s">
        <v>112</v>
      </c>
      <c r="G58" s="22" t="s">
        <v>7</v>
      </c>
      <c r="H58" s="21" t="s">
        <v>131</v>
      </c>
      <c r="I58" s="41" t="str">
        <f>IFERROR(VLOOKUP(TRIM(Tabela2[[#This Row],[SEI]]),[1]Medições!$B$2:$H$48,7,FALSE),Tabela2[[#This Row],[STATUS_original]])</f>
        <v>EXECUÇÃO</v>
      </c>
    </row>
    <row r="59" spans="1:9" x14ac:dyDescent="0.25">
      <c r="A59" s="7" t="s">
        <v>114</v>
      </c>
      <c r="B59" s="2" t="str">
        <f>IFERROR(VLOOKUP(TRIM(A59),[1]Medições!$B$2:$I$48,8,FALSE),VLOOKUP(TRIM(A59),[1]PROBLEMAS!$B$2:$I$122,8,FALSE))</f>
        <v>GISELLE G. FONSECA</v>
      </c>
      <c r="C59" s="5" t="str">
        <f>VLOOKUP(TRIM(Tabela2[[#This Row],[SEI]]),Tabela3[[Processo SEI]:[Objeto]],5,FALSE)</f>
        <v>DRENAGEM E PAVIMENTAÇÃO - ESTRADA DOS PINHEIROS, RIO CLARO/RJ</v>
      </c>
      <c r="D59" s="1" t="s">
        <v>115</v>
      </c>
      <c r="E59" s="1" t="s">
        <v>96</v>
      </c>
      <c r="F59" s="1" t="s">
        <v>15</v>
      </c>
      <c r="G59" s="23" t="s">
        <v>12</v>
      </c>
      <c r="H59" s="21" t="s">
        <v>131</v>
      </c>
      <c r="I59" s="41" t="str">
        <f>IFERROR(VLOOKUP(TRIM(Tabela2[[#This Row],[SEI]]),[1]Medições!$B$2:$H$48,7,FALSE),Tabela2[[#This Row],[STATUS_original]])</f>
        <v>CONCLUIDA</v>
      </c>
    </row>
    <row r="60" spans="1:9" x14ac:dyDescent="0.25">
      <c r="A60" s="7" t="s">
        <v>116</v>
      </c>
      <c r="B60" s="1" t="str">
        <f>IFERROR(VLOOKUP(TRIM(A60),[1]Medições!$B$2:$I$48,8,FALSE),VLOOKUP(TRIM(A60),[1]PROBLEMAS!$B$2:$I$122,8,FALSE))</f>
        <v>GISELLE G. FONSECA</v>
      </c>
      <c r="C60" s="5" t="str">
        <f>VLOOKUP(TRIM(Tabela2[[#This Row],[SEI]]),Tabela3[[Processo SEI]:[Objeto]],5,FALSE)</f>
        <v>CONTENÇÃO DE ENCOSTA NA RUA NOSSA SENHORA DE FÁTIMA - NILÓPOLIS/RJ</v>
      </c>
      <c r="D60" s="1" t="s">
        <v>118</v>
      </c>
      <c r="E60" s="1" t="s">
        <v>84</v>
      </c>
      <c r="F60" s="1" t="s">
        <v>117</v>
      </c>
      <c r="G60" s="22" t="s">
        <v>7</v>
      </c>
      <c r="H60" s="21" t="s">
        <v>131</v>
      </c>
      <c r="I60" s="41" t="str">
        <f>IFERROR(VLOOKUP(TRIM(Tabela2[[#This Row],[SEI]]),[1]Medições!$B$2:$H$48,7,FALSE),Tabela2[[#This Row],[STATUS_original]])</f>
        <v>EXECUÇÃO</v>
      </c>
    </row>
    <row r="61" spans="1:9" x14ac:dyDescent="0.25">
      <c r="A61" s="7" t="s">
        <v>119</v>
      </c>
      <c r="B61" s="1" t="str">
        <f>IFERROR(VLOOKUP(TRIM(A61),[1]Medições!$B$2:$I$48,8,FALSE),VLOOKUP(TRIM(A61),[1]PROBLEMAS!$B$2:$I$122,8,FALSE))</f>
        <v>GISELLE G. FONSECA</v>
      </c>
      <c r="C61" s="5" t="str">
        <f>VLOOKUP(TRIM(Tabela2[[#This Row],[SEI]]),Tabela3[[Processo SEI]:[Objeto]],5,FALSE)</f>
        <v>DRENAGEM E PAVIMENTAÇÃO NO SÃO FRANCISCO DE PAULA 2 – NOVA IGUAÇU/RJ</v>
      </c>
      <c r="D61" s="1" t="s">
        <v>120</v>
      </c>
      <c r="E61" s="1" t="s">
        <v>39</v>
      </c>
      <c r="F61" s="1" t="s">
        <v>73</v>
      </c>
      <c r="G61" s="22" t="s">
        <v>7</v>
      </c>
      <c r="H61" s="21" t="s">
        <v>131</v>
      </c>
      <c r="I61" s="41" t="str">
        <f>IFERROR(VLOOKUP(TRIM(Tabela2[[#This Row],[SEI]]),[1]Medições!$B$2:$H$48,7,FALSE),Tabela2[[#This Row],[STATUS_original]])</f>
        <v>EXECUÇÃO</v>
      </c>
    </row>
    <row r="62" spans="1:9" x14ac:dyDescent="0.25">
      <c r="A62" s="7" t="s">
        <v>121</v>
      </c>
      <c r="B62" s="1" t="str">
        <f>IFERROR(VLOOKUP(TRIM(A62),[1]Medições!$B$2:$I$48,8,FALSE),VLOOKUP(TRIM(A62),[1]PROBLEMAS!$B$2:$I$122,8,FALSE))</f>
        <v>GISELLE G. FONSECA</v>
      </c>
      <c r="C62" s="5" t="str">
        <f>VLOOKUP(TRIM(Tabela2[[#This Row],[SEI]]),Tabela3[[Processo SEI]:[Objeto]],5,FALSE)</f>
        <v>REVESTIMENTO ASFÁLTICO E DRENAGEM NO BAIRRO VALVERDE – NOVA IGUAÇU/RJ</v>
      </c>
      <c r="D62" s="1" t="s">
        <v>122</v>
      </c>
      <c r="E62" s="1" t="s">
        <v>39</v>
      </c>
      <c r="F62" s="1" t="s">
        <v>73</v>
      </c>
      <c r="G62" s="22" t="s">
        <v>7</v>
      </c>
      <c r="H62" s="21" t="s">
        <v>131</v>
      </c>
      <c r="I62" s="41" t="str">
        <f>IFERROR(VLOOKUP(TRIM(Tabela2[[#This Row],[SEI]]),[1]Medições!$B$2:$H$48,7,FALSE),Tabela2[[#This Row],[STATUS_original]])</f>
        <v>EXECUÇÃO</v>
      </c>
    </row>
    <row r="63" spans="1:9" x14ac:dyDescent="0.25">
      <c r="A63" s="20" t="s">
        <v>123</v>
      </c>
      <c r="B63" s="1" t="str">
        <f>IFERROR(VLOOKUP(TRIM(A63),[1]Medições!$B$2:$I$48,8,FALSE),VLOOKUP(TRIM(A63),[1]PROBLEMAS!$B$2:$I$122,8,FALSE))</f>
        <v>GISELLE G. FONSECA</v>
      </c>
      <c r="C63" s="5" t="str">
        <f>VLOOKUP(TRIM(Tabela2[[#This Row],[SEI]]),Tabela3[[Processo SEI]:[Objeto]],5,FALSE)</f>
        <v>REFORMA – ESTAÇÃO CACHOEIRA DO FUNIL - RIO DAS FLORES-RJ</v>
      </c>
      <c r="D63" s="1" t="s">
        <v>125</v>
      </c>
      <c r="E63" s="1" t="s">
        <v>124</v>
      </c>
      <c r="F63" s="1" t="s">
        <v>49</v>
      </c>
      <c r="G63" s="22" t="s">
        <v>7</v>
      </c>
      <c r="H63" s="21" t="s">
        <v>131</v>
      </c>
      <c r="I63" s="41" t="str">
        <f>IFERROR(VLOOKUP(TRIM(Tabela2[[#This Row],[SEI]]),[1]Medições!$B$2:$H$48,7,FALSE),Tabela2[[#This Row],[STATUS_original]])</f>
        <v>EXECUÇÃO</v>
      </c>
    </row>
    <row r="64" spans="1:9" x14ac:dyDescent="0.25">
      <c r="A64" s="75" t="s">
        <v>126</v>
      </c>
      <c r="B64" s="1" t="str">
        <f>IFERROR(VLOOKUP(TRIM(A64),[1]Medições!$B$2:$I$48,8,FALSE),VLOOKUP(TRIM(A64),[1]PROBLEMAS!$B$2:$I$122,8,FALSE))</f>
        <v>GISELLE G. FONSECA</v>
      </c>
      <c r="C64" s="5" t="str">
        <f>VLOOKUP(TRIM(Tabela2[[#This Row],[SEI]]),Tabela3[[Processo SEI]:[Objeto]],5,FALSE)</f>
        <v>DRENAGEM E PAVIMENTAÇÃO NO BAIRRO NOVA BELEM – JAPERI/RJ</v>
      </c>
      <c r="D64" s="5" t="s">
        <v>18</v>
      </c>
      <c r="E64" s="5" t="s">
        <v>17</v>
      </c>
      <c r="F64" s="1" t="s">
        <v>73</v>
      </c>
      <c r="G64" s="22" t="s">
        <v>7</v>
      </c>
      <c r="H64" s="21" t="s">
        <v>131</v>
      </c>
      <c r="I64" s="41" t="str">
        <f>IFERROR(VLOOKUP(TRIM(Tabela2[[#This Row],[SEI]]),[1]Medições!$B$2:$H$48,7,FALSE),Tabela2[[#This Row],[STATUS_original]])</f>
        <v>EXECUÇÃO</v>
      </c>
    </row>
    <row r="65" spans="1:9" x14ac:dyDescent="0.25">
      <c r="A65" s="7" t="s">
        <v>127</v>
      </c>
      <c r="B65" s="1" t="str">
        <f>IFERROR(VLOOKUP(TRIM(A65),[1]Medições!$B$2:$I$48,8,FALSE),VLOOKUP(TRIM(A65),[1]PROBLEMAS!$B$2:$I$122,8,FALSE))</f>
        <v>GISELLE G. FONSECA</v>
      </c>
      <c r="C65" s="5" t="str">
        <f>VLOOKUP(TRIM(Tabela2[[#This Row],[SEI]]),Tabela3[[Processo SEI]:[Objeto]],5,FALSE)</f>
        <v>DRENAGEM E PAVIMENTAÇÃO – ESTRADA RC 17 – RIO CLARO-RJ</v>
      </c>
      <c r="D65" s="1" t="s">
        <v>115</v>
      </c>
      <c r="E65" s="1" t="s">
        <v>96</v>
      </c>
      <c r="F65" s="1" t="s">
        <v>20</v>
      </c>
      <c r="G65" s="22" t="s">
        <v>21</v>
      </c>
      <c r="H65" s="21" t="s">
        <v>131</v>
      </c>
      <c r="I65" s="41" t="str">
        <f>IFERROR(VLOOKUP(TRIM(Tabela2[[#This Row],[SEI]]),[1]Medições!$B$2:$H$48,7,FALSE),Tabela2[[#This Row],[STATUS_original]])</f>
        <v>DISTRATO</v>
      </c>
    </row>
    <row r="66" spans="1:9" x14ac:dyDescent="0.25">
      <c r="A66" s="7" t="s">
        <v>128</v>
      </c>
      <c r="B66" s="1" t="str">
        <f>IFERROR(VLOOKUP(TRIM(A66),[1]Medições!$B$2:$I$48,8,FALSE),VLOOKUP(TRIM(A66),[1]PROBLEMAS!$B$2:$I$122,8,FALSE))</f>
        <v>GISELLE G. FONSECA</v>
      </c>
      <c r="C66" s="5" t="str">
        <f>VLOOKUP(TRIM(Tabela2[[#This Row],[SEI]]),Tabela3[[Processo SEI]:[Objeto]],5,FALSE)</f>
        <v>MACRODRENAGEM E RECUPERAÇÃO DE PAVIMENTAÇÃO – NOVA IGUAÇU/RJ</v>
      </c>
      <c r="D66" s="1" t="s">
        <v>129</v>
      </c>
      <c r="E66" s="1" t="s">
        <v>39</v>
      </c>
      <c r="F66" s="1" t="s">
        <v>73</v>
      </c>
      <c r="G66" s="22" t="s">
        <v>7</v>
      </c>
      <c r="H66" s="21" t="s">
        <v>131</v>
      </c>
      <c r="I66" s="41" t="str">
        <f>IFERROR(VLOOKUP(TRIM(Tabela2[[#This Row],[SEI]]),[1]Medições!$B$2:$H$48,7,FALSE),Tabela2[[#This Row],[STATUS_original]])</f>
        <v>EXECUÇÃO</v>
      </c>
    </row>
    <row r="67" spans="1:9" x14ac:dyDescent="0.25">
      <c r="A67" s="77" t="s">
        <v>178</v>
      </c>
      <c r="B67" s="83" t="str">
        <f>IFERROR(VLOOKUP(TRIM(A67),[1]Medições!$B$2:$I$48,8,FALSE),VLOOKUP(TRIM(A67),[1]PROBLEMAS!$B$2:$I$122,8,FALSE))</f>
        <v>GISELLE G. FONSECA</v>
      </c>
      <c r="C67" s="5" t="str">
        <f>VLOOKUP(TRIM(Tabela2[[#This Row],[SEI]]),Tabela3[[Processo SEI]:[Objeto]],5,FALSE)</f>
        <v>PAVIMENTAÇÃO, MICRODRENAGEM E ÁGUA/ESGOTO EM SANTA CLARA – SÃO FRANCISCO DE ITABAPOANA/RJ</v>
      </c>
      <c r="D67" s="16" t="s">
        <v>180</v>
      </c>
      <c r="E67" s="16" t="s">
        <v>179</v>
      </c>
      <c r="F67" s="15" t="s">
        <v>88</v>
      </c>
      <c r="G67" s="30" t="s">
        <v>16</v>
      </c>
      <c r="H67" s="10" t="s">
        <v>189</v>
      </c>
      <c r="I67" s="41" t="str">
        <f>IFERROR(VLOOKUP(TRIM(Tabela2[[#This Row],[SEI]]),[1]Medições!$B$2:$H$48,7,FALSE),Tabela2[[#This Row],[STATUS_original]])</f>
        <v>ACEITE PROVISORIO</v>
      </c>
    </row>
    <row r="68" spans="1:9" x14ac:dyDescent="0.25">
      <c r="A68" s="76" t="s">
        <v>181</v>
      </c>
      <c r="B68" s="84" t="str">
        <f>IFERROR(VLOOKUP(TRIM(A68),[1]Medições!$B$2:$I$48,8,FALSE),VLOOKUP(TRIM(A68),[1]PROBLEMAS!$B$2:$I$122,8,FALSE))</f>
        <v>GISELLE G. FONSECA</v>
      </c>
      <c r="C68" s="5" t="str">
        <f>VLOOKUP(TRIM(Tabela2[[#This Row],[SEI]]),Tabela3[[Processo SEI]:[Objeto]],5,FALSE)</f>
        <v>RECUPERAÇÃO E PAVIMENTAÇÃO NA ESTRADA VELHA RIO DOURADO – CASIMIRO DE ABREU/RJ</v>
      </c>
      <c r="D68" s="13" t="s">
        <v>74</v>
      </c>
      <c r="E68" s="13" t="s">
        <v>182</v>
      </c>
      <c r="F68" s="11" t="s">
        <v>153</v>
      </c>
      <c r="G68" s="33" t="s">
        <v>12</v>
      </c>
      <c r="H68" s="10" t="s">
        <v>189</v>
      </c>
      <c r="I68" s="41" t="str">
        <f>IFERROR(VLOOKUP(TRIM(Tabela2[[#This Row],[SEI]]),[1]Medições!$B$2:$H$48,7,FALSE),Tabela2[[#This Row],[STATUS_original]])</f>
        <v>CONCLUIDA</v>
      </c>
    </row>
    <row r="69" spans="1:9" x14ac:dyDescent="0.25">
      <c r="A69" s="75" t="s">
        <v>206</v>
      </c>
      <c r="B69" s="5" t="str">
        <f>IFERROR(VLOOKUP(TRIM(A69),[1]Medições!$B$2:$I$48,8,FALSE),VLOOKUP(TRIM(A69),[1]PROBLEMAS!$B$2:$I$122,8,FALSE))</f>
        <v>GISELLE G. FONSECA</v>
      </c>
      <c r="C69" s="5" t="str">
        <f>VLOOKUP(TRIM(Tabela2[[#This Row],[SEI]]),Tabela3[[Processo SEI]:[Objeto]],5,FALSE)</f>
        <v>INFRAESTRUTURA - ZONA ESPECIAL DE NEGÓCIOS, QUATIS/RJ</v>
      </c>
      <c r="D69" s="5" t="s">
        <v>205</v>
      </c>
      <c r="E69" s="5" t="s">
        <v>208</v>
      </c>
      <c r="F69" s="5" t="s">
        <v>207</v>
      </c>
      <c r="G69" s="36" t="s">
        <v>12</v>
      </c>
      <c r="H69" s="21" t="s">
        <v>259</v>
      </c>
      <c r="I69" s="41" t="str">
        <f>IFERROR(VLOOKUP(TRIM(Tabela2[[#This Row],[SEI]]),[1]Medições!$B$2:$H$48,7,FALSE),Tabela2[[#This Row],[STATUS_original]])</f>
        <v>CONCLUIDA</v>
      </c>
    </row>
    <row r="70" spans="1:9" x14ac:dyDescent="0.25">
      <c r="A70" s="75" t="s">
        <v>228</v>
      </c>
      <c r="B70" s="5" t="str">
        <f>IFERROR(VLOOKUP(TRIM(A70),[1]Medições!$B$2:$I$48,8,FALSE),VLOOKUP(TRIM(A70),[1]PROBLEMAS!$B$2:$I$122,8,FALSE))</f>
        <v>GISELLE G. FONSECA</v>
      </c>
      <c r="C70" s="5" t="str">
        <f>VLOOKUP(TRIM(Tabela2[[#This Row],[SEI]]),Tabela3[[Processo SEI]:[Objeto]],5,FALSE)</f>
        <v>RECUPERAÇÃO DE PAVIMENTAÇÃO E SINALIZAÇÃO - VALENÇA/RJ</v>
      </c>
      <c r="D70" s="5" t="s">
        <v>66</v>
      </c>
      <c r="E70" s="5" t="s">
        <v>226</v>
      </c>
      <c r="F70" s="5" t="s">
        <v>229</v>
      </c>
      <c r="G70" s="37" t="s">
        <v>12</v>
      </c>
      <c r="H70" s="21" t="s">
        <v>259</v>
      </c>
      <c r="I70" s="41" t="str">
        <f>IFERROR(VLOOKUP(TRIM(Tabela2[[#This Row],[SEI]]),[1]Medições!$B$2:$H$48,7,FALSE),Tabela2[[#This Row],[STATUS_original]])</f>
        <v>CONCLUIDA</v>
      </c>
    </row>
    <row r="71" spans="1:9" x14ac:dyDescent="0.25">
      <c r="A71" s="75" t="s">
        <v>230</v>
      </c>
      <c r="B71" s="5" t="str">
        <f>IFERROR(VLOOKUP(TRIM(A71),[1]Medições!$B$2:$I$48,8,FALSE),VLOOKUP(TRIM(A71),[1]PROBLEMAS!$B$2:$I$122,8,FALSE))</f>
        <v>GISELLE G. FONSECA</v>
      </c>
      <c r="C71" s="5" t="str">
        <f>VLOOKUP(TRIM(Tabela2[[#This Row],[SEI]]),Tabela3[[Processo SEI]:[Objeto]],5,FALSE)</f>
        <v>CONSTRUÇÃO DE GALPÕES INDUSTRIAIS – RIO DAS FLORES-RJ</v>
      </c>
      <c r="D71" s="5" t="s">
        <v>231</v>
      </c>
      <c r="E71" s="5" t="s">
        <v>124</v>
      </c>
      <c r="F71" s="5" t="s">
        <v>49</v>
      </c>
      <c r="G71" s="22" t="s">
        <v>38</v>
      </c>
      <c r="H71" s="21" t="s">
        <v>259</v>
      </c>
      <c r="I71" s="41" t="str">
        <f>IFERROR(VLOOKUP(TRIM(Tabela2[[#This Row],[SEI]]),[1]Medições!$B$2:$H$48,7,FALSE),Tabela2[[#This Row],[STATUS_original]])</f>
        <v>#CONCLUIDA</v>
      </c>
    </row>
    <row r="72" spans="1:9" x14ac:dyDescent="0.25">
      <c r="A72" s="75" t="s">
        <v>233</v>
      </c>
      <c r="B72" s="5" t="str">
        <f>IFERROR(VLOOKUP(TRIM(A72),[1]Medições!$B$2:$I$48,8,FALSE),VLOOKUP(TRIM(A72),[1]PROBLEMAS!$B$2:$I$122,8,FALSE))</f>
        <v>GISELLE G. FONSECA</v>
      </c>
      <c r="C72" s="5" t="str">
        <f>VLOOKUP(TRIM(Tabela2[[#This Row],[SEI]]),Tabela3[[Processo SEI]:[Objeto]],5,FALSE)</f>
        <v>DRENAGEM E PAVIMENTAÇÃO - LEVY GASPARIAN/RJ</v>
      </c>
      <c r="D72" s="5" t="s">
        <v>235</v>
      </c>
      <c r="E72" s="5" t="s">
        <v>222</v>
      </c>
      <c r="F72" s="2" t="s">
        <v>234</v>
      </c>
      <c r="G72" s="22" t="s">
        <v>71</v>
      </c>
      <c r="H72" s="21" t="s">
        <v>259</v>
      </c>
      <c r="I72" s="41" t="str">
        <f>IFERROR(VLOOKUP(TRIM(Tabela2[[#This Row],[SEI]]),[1]Medições!$B$2:$H$48,7,FALSE),Tabela2[[#This Row],[STATUS_original]])</f>
        <v>ACEITE DEFINITIVO</v>
      </c>
    </row>
    <row r="73" spans="1:9" x14ac:dyDescent="0.25">
      <c r="A73" s="75" t="s">
        <v>248</v>
      </c>
      <c r="B73" s="5" t="str">
        <f>IFERROR(VLOOKUP(TRIM(A73),[1]Medições!$B$2:$I$48,8,FALSE),VLOOKUP(TRIM(A73),[1]PROBLEMAS!$B$2:$I$122,8,FALSE))</f>
        <v>GISELLE G. FONSECA</v>
      </c>
      <c r="C73" s="5" t="str">
        <f>VLOOKUP(TRIM(Tabela2[[#This Row],[SEI]]),Tabela3[[Processo SEI]:[Objeto]],5,FALSE)</f>
        <v>RECUPERAÇÃO DE PAVIMENTAÇÃO – POLO URBANO – PORTO REAL-RJ</v>
      </c>
      <c r="D73" s="5" t="s">
        <v>115</v>
      </c>
      <c r="E73" s="5" t="s">
        <v>204</v>
      </c>
      <c r="F73" s="2" t="s">
        <v>191</v>
      </c>
      <c r="G73" s="34" t="s">
        <v>71</v>
      </c>
      <c r="H73" s="21" t="s">
        <v>259</v>
      </c>
      <c r="I73" s="41" t="str">
        <f>IFERROR(VLOOKUP(TRIM(Tabela2[[#This Row],[SEI]]),[1]Medições!$B$2:$H$48,7,FALSE),Tabela2[[#This Row],[STATUS_original]])</f>
        <v>ACEITE DEFINITIVO</v>
      </c>
    </row>
    <row r="74" spans="1:9" x14ac:dyDescent="0.25">
      <c r="A74" s="75" t="s">
        <v>249</v>
      </c>
      <c r="B74" s="5" t="str">
        <f>IFERROR(VLOOKUP(TRIM(A74),[1]Medições!$B$2:$I$48,8,FALSE),VLOOKUP(TRIM(A74),[1]PROBLEMAS!$B$2:$I$122,8,FALSE))</f>
        <v>GISELLE G. FONSECA</v>
      </c>
      <c r="C74" s="5" t="str">
        <f>VLOOKUP(TRIM(Tabela2[[#This Row],[SEI]]),Tabela3[[Processo SEI]:[Objeto]],5,FALSE)</f>
        <v>INFRAESTRUTURA EM LOGRADOUROS - PATY DO ALFERES/RJ</v>
      </c>
      <c r="D74" s="5" t="s">
        <v>252</v>
      </c>
      <c r="E74" s="5" t="s">
        <v>251</v>
      </c>
      <c r="F74" s="2" t="s">
        <v>250</v>
      </c>
      <c r="G74" s="22" t="s">
        <v>38</v>
      </c>
      <c r="H74" s="21" t="s">
        <v>259</v>
      </c>
      <c r="I74" s="41" t="str">
        <f>IFERROR(VLOOKUP(TRIM(Tabela2[[#This Row],[SEI]]),[1]Medições!$B$2:$H$48,7,FALSE),Tabela2[[#This Row],[STATUS_original]])</f>
        <v>#CONCLUIDA</v>
      </c>
    </row>
    <row r="75" spans="1:9" x14ac:dyDescent="0.25">
      <c r="A75" s="38" t="s">
        <v>260</v>
      </c>
      <c r="B75" s="8" t="str">
        <f>IFERROR(VLOOKUP(TRIM(A75),[1]Medições!$B$2:$I$48,8,FALSE),VLOOKUP(TRIM(A75),[1]PROBLEMAS!$B$2:$I$122,8,FALSE))</f>
        <v>GISELLE G. FONSECA</v>
      </c>
      <c r="C75" s="5" t="str">
        <f>VLOOKUP(TRIM(Tabela2[[#This Row],[SEI]]),Tabela3[[Processo SEI]:[Objeto]],5,FALSE)</f>
        <v>CONTENÇÃO COM SOLO GRAMPEADO PRÓXIMO À KLABIN – MENDES/RJ (#FUNDO SOBERANO)</v>
      </c>
      <c r="D75" s="80" t="s">
        <v>261</v>
      </c>
      <c r="E75" s="8" t="s">
        <v>201</v>
      </c>
      <c r="F75" s="8" t="s">
        <v>210</v>
      </c>
      <c r="G75" s="3" t="s">
        <v>71</v>
      </c>
      <c r="H75" s="8" t="s">
        <v>280</v>
      </c>
      <c r="I75" s="41" t="str">
        <f>IFERROR(VLOOKUP(TRIM(Tabela2[[#This Row],[SEI]]),[1]Medições!$B$2:$H$48,7,FALSE),Tabela2[[#This Row],[STATUS_original]])</f>
        <v>ACEITE DEFINITIVO</v>
      </c>
    </row>
    <row r="76" spans="1:9" x14ac:dyDescent="0.25">
      <c r="A76" s="38" t="s">
        <v>262</v>
      </c>
      <c r="B76" s="8" t="str">
        <f>IFERROR(VLOOKUP(TRIM(A76),[1]Medições!$B$2:$I$48,8,FALSE),VLOOKUP(TRIM(A76),[1]PROBLEMAS!$B$2:$I$122,8,FALSE))</f>
        <v>GISELLE G. FONSECA</v>
      </c>
      <c r="C76" s="5" t="str">
        <f>VLOOKUP(TRIM(Tabela2[[#This Row],[SEI]]),Tabela3[[Processo SEI]:[Objeto]],5,FALSE)</f>
        <v>DEMOLIÇÃO E CONSTRUÇÃO DA PONTE SOBRE O RIO BOA ESPERANÇA – RIO BONITO/RJ</v>
      </c>
      <c r="D76" s="80" t="s">
        <v>264</v>
      </c>
      <c r="E76" s="8" t="s">
        <v>263</v>
      </c>
      <c r="F76" s="8" t="s">
        <v>191</v>
      </c>
      <c r="G76" s="3" t="s">
        <v>71</v>
      </c>
      <c r="H76" s="8" t="s">
        <v>280</v>
      </c>
      <c r="I76" s="41" t="str">
        <f>IFERROR(VLOOKUP(TRIM(Tabela2[[#This Row],[SEI]]),[1]Medições!$B$2:$H$48,7,FALSE),Tabela2[[#This Row],[STATUS_original]])</f>
        <v>ACEITE DEFINITIVO</v>
      </c>
    </row>
    <row r="77" spans="1:9" x14ac:dyDescent="0.25">
      <c r="A77" s="38" t="s">
        <v>267</v>
      </c>
      <c r="B77" s="8" t="str">
        <f>IFERROR(VLOOKUP(TRIM(A77),[1]Medições!$B$2:$I$48,8,FALSE),VLOOKUP(TRIM(A77),[1]PROBLEMAS!$B$2:$I$122,8,FALSE))</f>
        <v>GISELLE G. FONSECA</v>
      </c>
      <c r="C77" s="5" t="str">
        <f>VLOOKUP(TRIM(Tabela2[[#This Row],[SEI]]),Tabela3[[Processo SEI]:[Objeto]],5,FALSE)</f>
        <v>CONTENÇÃO DE ENCOSTA NA RUA GENERAL MENA BARRETO - NILÓPOLIS/RJ</v>
      </c>
      <c r="D77" s="80" t="s">
        <v>269</v>
      </c>
      <c r="E77" s="8" t="s">
        <v>268</v>
      </c>
      <c r="F77" s="8" t="s">
        <v>6</v>
      </c>
      <c r="G77" s="3" t="s">
        <v>71</v>
      </c>
      <c r="H77" s="8" t="s">
        <v>280</v>
      </c>
      <c r="I77" s="41" t="str">
        <f>IFERROR(VLOOKUP(TRIM(Tabela2[[#This Row],[SEI]]),[1]Medições!$B$2:$H$48,7,FALSE),Tabela2[[#This Row],[STATUS_original]])</f>
        <v>ACEITE DEFINITIVO</v>
      </c>
    </row>
    <row r="78" spans="1:9" x14ac:dyDescent="0.25">
      <c r="A78" s="38" t="s">
        <v>270</v>
      </c>
      <c r="B78" s="8" t="str">
        <f>IFERROR(VLOOKUP(TRIM(A78),[1]Medições!$B$2:$I$48,8,FALSE),VLOOKUP(TRIM(A78),[1]PROBLEMAS!$B$2:$I$122,8,FALSE))</f>
        <v>GISELLE G. FONSECA</v>
      </c>
      <c r="C78" s="5" t="str">
        <f>VLOOKUP(TRIM(Tabela2[[#This Row],[SEI]]),Tabela3[[Processo SEI]:[Objeto]],5,FALSE)</f>
        <v>CONTENÇÃO DE ENCOSTA NA TRAVESSA NATIVIDADE - NILÓPOLIS/RJ</v>
      </c>
      <c r="D78" s="80" t="s">
        <v>269</v>
      </c>
      <c r="E78" s="8" t="s">
        <v>268</v>
      </c>
      <c r="F78" s="8" t="s">
        <v>117</v>
      </c>
      <c r="G78" s="39" t="s">
        <v>7</v>
      </c>
      <c r="H78" s="8" t="s">
        <v>280</v>
      </c>
      <c r="I78" s="41" t="str">
        <f>IFERROR(VLOOKUP(TRIM(Tabela2[[#This Row],[SEI]]),[1]Medições!$B$2:$H$48,7,FALSE),Tabela2[[#This Row],[STATUS_original]])</f>
        <v>EXECUÇÃO</v>
      </c>
    </row>
    <row r="79" spans="1:9" x14ac:dyDescent="0.25">
      <c r="A79" s="38" t="s">
        <v>271</v>
      </c>
      <c r="B79" s="8" t="str">
        <f>IFERROR(VLOOKUP(TRIM(A79),[1]Medições!$B$2:$I$48,8,FALSE),VLOOKUP(TRIM(A79),[1]PROBLEMAS!$B$2:$I$122,8,FALSE))</f>
        <v>GISELLE G. FONSECA</v>
      </c>
      <c r="C79" s="5" t="str">
        <f>VLOOKUP(TRIM(Tabela2[[#This Row],[SEI]]),Tabela3[[Processo SEI]:[Objeto]],5,FALSE)</f>
        <v>CONTENÇÃO E DRENAGEM EM VILA VASCONCELOS, PETRÓPOLIS</v>
      </c>
      <c r="D79" s="80" t="s">
        <v>272</v>
      </c>
      <c r="E79" s="8" t="s">
        <v>28</v>
      </c>
      <c r="F79" s="8" t="s">
        <v>117</v>
      </c>
      <c r="G79" s="39" t="s">
        <v>7</v>
      </c>
      <c r="H79" s="8" t="s">
        <v>280</v>
      </c>
      <c r="I79" s="41" t="str">
        <f>IFERROR(VLOOKUP(TRIM(Tabela2[[#This Row],[SEI]]),[1]Medições!$B$2:$H$48,7,FALSE),Tabela2[[#This Row],[STATUS_original]])</f>
        <v>EXECUÇÃO</v>
      </c>
    </row>
    <row r="80" spans="1:9" x14ac:dyDescent="0.25">
      <c r="A80" s="20" t="s">
        <v>273</v>
      </c>
      <c r="B80" s="8" t="str">
        <f>IFERROR(VLOOKUP(TRIM(A80),[1]Medições!$B$2:$I$48,8,FALSE),VLOOKUP(TRIM(A80),[1]PROBLEMAS!$B$2:$I$122,8,FALSE))</f>
        <v>GISELLE G. FONSECA</v>
      </c>
      <c r="C80" s="5" t="str">
        <f>VLOOKUP(TRIM(Tabela2[[#This Row],[SEI]]),Tabela3[[Processo SEI]:[Objeto]],5,FALSE)</f>
        <v>CONTENÇÃO DE ENCOSTA NA RUA GENERAL OLÍMPIO DA FONSECA - NILÓPOLIS/RJ</v>
      </c>
      <c r="D80" s="1" t="s">
        <v>274</v>
      </c>
      <c r="E80" s="1" t="s">
        <v>84</v>
      </c>
      <c r="F80" s="1" t="s">
        <v>117</v>
      </c>
      <c r="G80" s="3" t="s">
        <v>7</v>
      </c>
      <c r="H80" s="8" t="s">
        <v>280</v>
      </c>
      <c r="I80" s="41" t="str">
        <f>IFERROR(VLOOKUP(TRIM(Tabela2[[#This Row],[SEI]]),[1]Medições!$B$2:$H$48,7,FALSE),Tabela2[[#This Row],[STATUS_original]])</f>
        <v>EXECUÇÃO</v>
      </c>
    </row>
    <row r="81" spans="1:9" x14ac:dyDescent="0.25">
      <c r="A81" s="38" t="s">
        <v>278</v>
      </c>
      <c r="B81" s="8" t="str">
        <f>IFERROR(VLOOKUP(TRIM(A81),[1]Medições!$B$2:$I$48,8,FALSE),VLOOKUP(TRIM(A81),[1]PROBLEMAS!$B$2:$I$122,8,FALSE))</f>
        <v>GISELLE G. FONSECA</v>
      </c>
      <c r="C81" s="5" t="str">
        <f>VLOOKUP(TRIM(Tabela2[[#This Row],[SEI]]),Tabela3[[Processo SEI]:[Objeto]],5,FALSE)</f>
        <v>STABILIZAÇÃO DE TALUDES NA RUA URUGUAI NO BAIRRO QUITANDINHA-PETROPOLIS</v>
      </c>
      <c r="D81" s="80" t="s">
        <v>279</v>
      </c>
      <c r="E81" s="8" t="s">
        <v>28</v>
      </c>
      <c r="F81" s="40" t="s">
        <v>117</v>
      </c>
      <c r="G81" s="39" t="s">
        <v>7</v>
      </c>
      <c r="H81" s="8" t="s">
        <v>280</v>
      </c>
      <c r="I81" s="41" t="str">
        <f>IFERROR(VLOOKUP(TRIM(Tabela2[[#This Row],[SEI]]),[1]Medições!$B$2:$H$48,7,FALSE),Tabela2[[#This Row],[STATUS_original]])</f>
        <v>EXECUÇÃO</v>
      </c>
    </row>
    <row r="82" spans="1:9" x14ac:dyDescent="0.25">
      <c r="A82" s="38" t="s">
        <v>320</v>
      </c>
      <c r="B82" s="8" t="str">
        <f>IFERROR(VLOOKUP(TRIM(A82),[1]Medições!$B$2:$I$48,8,FALSE),VLOOKUP(TRIM(A82),[1]PROBLEMAS!$B$2:$I$122,8,FALSE))</f>
        <v>GISELLE G. FONSECA</v>
      </c>
      <c r="C82" s="5" t="str">
        <f>VLOOKUP(TRIM(Tabela2[[#This Row],[SEI]]),Tabela3[[Processo SEI]:[Objeto]],5,FALSE)</f>
        <v>DRENAGEM E PAVIMENTAÇÃO NO JARDIM DELAMARE, JAPERI/RJ</v>
      </c>
      <c r="D82" s="8" t="s">
        <v>155</v>
      </c>
      <c r="E82" s="8" t="s">
        <v>17</v>
      </c>
      <c r="F82" s="8" t="s">
        <v>282</v>
      </c>
      <c r="G82" s="8" t="s">
        <v>71</v>
      </c>
      <c r="H82" s="8" t="s">
        <v>328</v>
      </c>
      <c r="I82" s="41" t="str">
        <f>IFERROR(VLOOKUP(TRIM(Tabela2[[#This Row],[SEI]]),[1]Medições!$B$2:$H$48,7,FALSE),Tabela2[[#This Row],[STATUS_original]])</f>
        <v>ACEITE DEFINITIVO</v>
      </c>
    </row>
    <row r="83" spans="1:9" x14ac:dyDescent="0.25">
      <c r="A83" s="38" t="s">
        <v>293</v>
      </c>
      <c r="B83" s="8" t="str">
        <f>IFERROR(VLOOKUP(TRIM(A83),[1]Medições!$B$2:$I$48,8,FALSE),VLOOKUP(TRIM(A83),[1]PROBLEMAS!$B$2:$I$122,8,FALSE))</f>
        <v>IGOR CARNEIRO</v>
      </c>
      <c r="C83" s="5" t="str">
        <f>VLOOKUP(TRIM(Tabela2[[#This Row],[SEI]]),Tabela3[[Processo SEI]:[Objeto]],5,FALSE)</f>
        <v>CONSTRUÇÃO DO COE E DE EQUIPAMENTO MODULAR – RIO DE JANEIRO</v>
      </c>
      <c r="D83" s="8" t="s">
        <v>295</v>
      </c>
      <c r="E83" s="8" t="s">
        <v>108</v>
      </c>
      <c r="F83" s="8" t="s">
        <v>294</v>
      </c>
      <c r="G83" s="8" t="s">
        <v>38</v>
      </c>
      <c r="H83" s="8" t="s">
        <v>328</v>
      </c>
      <c r="I83" s="41" t="str">
        <f>IFERROR(VLOOKUP(TRIM(Tabela2[[#This Row],[SEI]]),[1]Medições!$B$2:$H$48,7,FALSE),Tabela2[[#This Row],[STATUS_original]])</f>
        <v>#CONCLUIDA</v>
      </c>
    </row>
    <row r="84" spans="1:9" x14ac:dyDescent="0.25">
      <c r="A84" s="38" t="s">
        <v>316</v>
      </c>
      <c r="B84" s="8" t="str">
        <f>IFERROR(VLOOKUP(TRIM(A84),[1]Medições!$B$2:$I$48,8,FALSE),VLOOKUP(TRIM(A84),[1]PROBLEMAS!$B$2:$I$122,8,FALSE))</f>
        <v>IGOR CARNEIRO</v>
      </c>
      <c r="C84" s="5" t="str">
        <f>VLOOKUP(TRIM(Tabela2[[#This Row],[SEI]]),Tabela3[[Processo SEI]:[Objeto]],5,FALSE)</f>
        <v>CONSTRUÇÃO DO COLÉGIO ESTADUAL LUIZ MELODIA – RIO DE JANEIRO</v>
      </c>
      <c r="D84" s="8" t="s">
        <v>295</v>
      </c>
      <c r="E84" s="8" t="s">
        <v>108</v>
      </c>
      <c r="F84" s="8" t="s">
        <v>317</v>
      </c>
      <c r="G84" s="8" t="s">
        <v>7</v>
      </c>
      <c r="H84" s="8" t="s">
        <v>328</v>
      </c>
      <c r="I84" s="41" t="str">
        <f>IFERROR(VLOOKUP(TRIM(Tabela2[[#This Row],[SEI]]),[1]Medições!$B$2:$H$48,7,FALSE),Tabela2[[#This Row],[STATUS_original]])</f>
        <v>EXECUÇÃO</v>
      </c>
    </row>
    <row r="85" spans="1:9" x14ac:dyDescent="0.25">
      <c r="A85" s="38" t="s">
        <v>318</v>
      </c>
      <c r="B85" s="8" t="str">
        <f>IFERROR(VLOOKUP(TRIM(A85),[1]Medições!$B$2:$I$48,8,FALSE),VLOOKUP(TRIM(A85),[1]PROBLEMAS!$B$2:$I$122,8,FALSE))</f>
        <v>IGOR CARNEIRO</v>
      </c>
      <c r="C85" s="5" t="str">
        <f>VLOOKUP(TRIM(Tabela2[[#This Row],[SEI]]),Tabela3[[Processo SEI]:[Objeto]],5,FALSE)</f>
        <v>OBRAS DE RESTAURAÇÃO NO PALACETE DO PARQUE LAGE – RJ</v>
      </c>
      <c r="D85" s="8" t="s">
        <v>319</v>
      </c>
      <c r="E85" s="8" t="s">
        <v>108</v>
      </c>
      <c r="F85" s="8" t="s">
        <v>299</v>
      </c>
      <c r="G85" s="8" t="s">
        <v>7</v>
      </c>
      <c r="H85" s="8" t="s">
        <v>328</v>
      </c>
      <c r="I85" s="41" t="str">
        <f>IFERROR(VLOOKUP(TRIM(Tabela2[[#This Row],[SEI]]),[1]Medições!$B$2:$H$48,7,FALSE),Tabela2[[#This Row],[STATUS_original]])</f>
        <v>EXECUÇÃO</v>
      </c>
    </row>
    <row r="86" spans="1:9" x14ac:dyDescent="0.25">
      <c r="A86" s="38" t="s">
        <v>321</v>
      </c>
      <c r="B86" s="8" t="str">
        <f>IFERROR(VLOOKUP(TRIM(A86),[1]Medições!$B$2:$I$48,8,FALSE),VLOOKUP(TRIM(A86),[1]PROBLEMAS!$B$2:$I$122,8,FALSE))</f>
        <v>IGOR CARNEIRO</v>
      </c>
      <c r="C86" s="5" t="str">
        <f>VLOOKUP(TRIM(Tabela2[[#This Row],[SEI]]),Tabela3[[Processo SEI]:[Objeto]],5,FALSE)</f>
        <v>IMPLANTAÇÃO DA PONTE DO PILAR E INFRAESTRUTURA – DUQUE DE CAXIAS/RJ</v>
      </c>
      <c r="D86" s="8" t="s">
        <v>86</v>
      </c>
      <c r="E86" s="8" t="s">
        <v>8</v>
      </c>
      <c r="F86" s="8" t="s">
        <v>317</v>
      </c>
      <c r="G86" s="8" t="s">
        <v>7</v>
      </c>
      <c r="H86" s="8" t="s">
        <v>328</v>
      </c>
      <c r="I86" s="41" t="str">
        <f>IFERROR(VLOOKUP(TRIM(Tabela2[[#This Row],[SEI]]),[1]Medições!$B$2:$H$48,7,FALSE),Tabela2[[#This Row],[STATUS_original]])</f>
        <v>EXECUÇÃO</v>
      </c>
    </row>
    <row r="87" spans="1:9" x14ac:dyDescent="0.25">
      <c r="A87" s="76" t="s">
        <v>132</v>
      </c>
      <c r="B87" s="84" t="str">
        <f>IFERROR(VLOOKUP(TRIM(A87),[1]Medições!$B$2:$I$48,8,FALSE),VLOOKUP(TRIM(A87),[1]PROBLEMAS!$B$2:$I$122,8,FALSE))</f>
        <v>ISADORA ROSALINO</v>
      </c>
      <c r="C87" s="5" t="str">
        <f>VLOOKUP(TRIM(Tabela2[[#This Row],[SEI]]),Tabela3[[Processo SEI]:[Objeto]],5,FALSE)</f>
        <v>PAVIMENTAÇÃO, URBANIZAÇÃO E DRENAGEM EM PARQUE SARAIVA - CAMPOS</v>
      </c>
      <c r="D87" s="13" t="s">
        <v>135</v>
      </c>
      <c r="E87" s="14" t="s">
        <v>134</v>
      </c>
      <c r="F87" s="12" t="s">
        <v>133</v>
      </c>
      <c r="G87" s="26" t="s">
        <v>38</v>
      </c>
      <c r="H87" s="10" t="s">
        <v>189</v>
      </c>
      <c r="I87" s="41" t="str">
        <f>IFERROR(VLOOKUP(TRIM(Tabela2[[#This Row],[SEI]]),[1]Medições!$B$2:$H$48,7,FALSE),Tabela2[[#This Row],[STATUS_original]])</f>
        <v>#CONCLUIDA</v>
      </c>
    </row>
    <row r="88" spans="1:9" x14ac:dyDescent="0.25">
      <c r="A88" s="76" t="s">
        <v>140</v>
      </c>
      <c r="B88" s="84" t="str">
        <f>IFERROR(VLOOKUP(TRIM(A88),[1]Medições!$B$2:$I$48,8,FALSE),VLOOKUP(TRIM(A88),[1]PROBLEMAS!$B$2:$I$122,8,FALSE))</f>
        <v>ISADORA ROSALINO</v>
      </c>
      <c r="C88" s="5" t="str">
        <f>VLOOKUP(TRIM(Tabela2[[#This Row],[SEI]]),Tabela3[[Processo SEI]:[Objeto]],5,FALSE)</f>
        <v>PAVIMENTAÇÃO, URBANIZAÇÃO E DRENAGEM NOS BAIRROS DE CAMPOS</v>
      </c>
      <c r="D88" s="13" t="s">
        <v>141</v>
      </c>
      <c r="E88" s="14" t="s">
        <v>134</v>
      </c>
      <c r="F88" s="12" t="s">
        <v>133</v>
      </c>
      <c r="G88" s="26" t="s">
        <v>7</v>
      </c>
      <c r="H88" s="10" t="s">
        <v>189</v>
      </c>
      <c r="I88" s="41" t="str">
        <f>IFERROR(VLOOKUP(TRIM(Tabela2[[#This Row],[SEI]]),[1]Medições!$B$2:$H$48,7,FALSE),Tabela2[[#This Row],[STATUS_original]])</f>
        <v>EXECUÇÃO</v>
      </c>
    </row>
    <row r="89" spans="1:9" x14ac:dyDescent="0.25">
      <c r="A89" s="78" t="s">
        <v>142</v>
      </c>
      <c r="B89" s="85" t="str">
        <f>IFERROR(VLOOKUP(TRIM(A89),[1]Medições!$B$2:$I$48,8,FALSE),VLOOKUP(TRIM(A89),[1]PROBLEMAS!$B$2:$I$122,8,FALSE))</f>
        <v>ISADORA ROSALINO</v>
      </c>
      <c r="C89" s="5" t="str">
        <f>VLOOKUP(TRIM(Tabela2[[#This Row],[SEI]]),Tabela3[[Processo SEI]:[Objeto]],5,FALSE)</f>
        <v>REVESTIMENTO ASFÁLTICO E DRENAGEM EM PORTO BELO –EM CAMPOS/RJ</v>
      </c>
      <c r="D89" s="16" t="s">
        <v>143</v>
      </c>
      <c r="E89" s="18" t="s">
        <v>134</v>
      </c>
      <c r="F89" s="17" t="s">
        <v>133</v>
      </c>
      <c r="G89" s="28" t="s">
        <v>7</v>
      </c>
      <c r="H89" s="10" t="s">
        <v>189</v>
      </c>
      <c r="I89" s="41" t="str">
        <f>IFERROR(VLOOKUP(TRIM(Tabela2[[#This Row],[SEI]]),[1]Medições!$B$2:$H$48,7,FALSE),Tabela2[[#This Row],[STATUS_original]])</f>
        <v>EXECUÇÃO</v>
      </c>
    </row>
    <row r="90" spans="1:9" x14ac:dyDescent="0.25">
      <c r="A90" s="79" t="s">
        <v>144</v>
      </c>
      <c r="B90" s="86" t="str">
        <f>IFERROR(VLOOKUP(TRIM(A90),[1]Medições!$B$2:$I$48,8,FALSE),VLOOKUP(TRIM(A90),[1]PROBLEMAS!$B$2:$I$122,8,FALSE))</f>
        <v>ISADORA ROSALINO</v>
      </c>
      <c r="C90" s="5" t="str">
        <f>VLOOKUP(TRIM(Tabela2[[#This Row],[SEI]]),Tabela3[[Processo SEI]:[Objeto]],5,FALSE)</f>
        <v>REVESTIMENTO ASFÁLTICO E DRENAGEM NOS BAIRROS DE CAMPOS</v>
      </c>
      <c r="D90" s="13" t="s">
        <v>145</v>
      </c>
      <c r="E90" s="14" t="s">
        <v>134</v>
      </c>
      <c r="F90" s="12" t="s">
        <v>133</v>
      </c>
      <c r="G90" s="29" t="s">
        <v>7</v>
      </c>
      <c r="H90" s="10" t="s">
        <v>189</v>
      </c>
      <c r="I90" s="41" t="str">
        <f>IFERROR(VLOOKUP(TRIM(Tabela2[[#This Row],[SEI]]),[1]Medições!$B$2:$H$48,7,FALSE),Tabela2[[#This Row],[STATUS_original]])</f>
        <v>EXECUÇÃO</v>
      </c>
    </row>
    <row r="91" spans="1:9" x14ac:dyDescent="0.25">
      <c r="A91" s="76" t="s">
        <v>149</v>
      </c>
      <c r="B91" s="84" t="str">
        <f>IFERROR(VLOOKUP(TRIM(A91),[1]Medições!$B$2:$I$48,8,FALSE),VLOOKUP(TRIM(A91),[1]PROBLEMAS!$B$2:$I$122,8,FALSE))</f>
        <v>ISADORA ROSALINO</v>
      </c>
      <c r="C91" s="5" t="str">
        <f>VLOOKUP(TRIM(Tabela2[[#This Row],[SEI]]),Tabela3[[Processo SEI]:[Objeto]],5,FALSE)</f>
        <v>TERMINAL RODOVIÁRIO – TERESÓPOLIS</v>
      </c>
      <c r="D91" s="13" t="s">
        <v>151</v>
      </c>
      <c r="E91" s="13" t="s">
        <v>150</v>
      </c>
      <c r="F91" s="11" t="s">
        <v>88</v>
      </c>
      <c r="G91" s="31" t="s">
        <v>16</v>
      </c>
      <c r="H91" s="10" t="s">
        <v>189</v>
      </c>
      <c r="I91" s="41" t="str">
        <f>IFERROR(VLOOKUP(TRIM(Tabela2[[#This Row],[SEI]]),[1]Medições!$B$2:$H$48,7,FALSE),Tabela2[[#This Row],[STATUS_original]])</f>
        <v>ACEITE PROVISORIO</v>
      </c>
    </row>
    <row r="92" spans="1:9" x14ac:dyDescent="0.25">
      <c r="A92" s="77" t="s">
        <v>152</v>
      </c>
      <c r="B92" s="83" t="str">
        <f>IFERROR(VLOOKUP(TRIM(A92),[1]Medições!$B$2:$I$48,8,FALSE),VLOOKUP(TRIM(A92),[1]PROBLEMAS!$B$2:$I$122,8,FALSE))</f>
        <v>ISADORA ROSALINO</v>
      </c>
      <c r="C92" s="5" t="str">
        <f>VLOOKUP(TRIM(Tabela2[[#This Row],[SEI]]),Tabela3[[Processo SEI]:[Objeto]],5,FALSE)</f>
        <v>CONSTRUÇÃO DE ACOSTAMENTO, CICLOVIA E CALÇADA EM PRAIA SECA – ARARUAMA/RJ</v>
      </c>
      <c r="D92" s="16" t="s">
        <v>155</v>
      </c>
      <c r="E92" s="16" t="s">
        <v>154</v>
      </c>
      <c r="F92" s="15" t="s">
        <v>153</v>
      </c>
      <c r="G92" s="32" t="s">
        <v>12</v>
      </c>
      <c r="H92" s="10" t="s">
        <v>189</v>
      </c>
      <c r="I92" s="41" t="str">
        <f>IFERROR(VLOOKUP(TRIM(Tabela2[[#This Row],[SEI]]),[1]Medições!$B$2:$H$48,7,FALSE),Tabela2[[#This Row],[STATUS_original]])</f>
        <v>CONCLUIDA</v>
      </c>
    </row>
    <row r="93" spans="1:9" x14ac:dyDescent="0.25">
      <c r="A93" s="76" t="s">
        <v>156</v>
      </c>
      <c r="B93" s="84" t="str">
        <f>IFERROR(VLOOKUP(TRIM(A93),[1]Medições!$B$2:$I$48,8,FALSE),VLOOKUP(TRIM(A93),[1]PROBLEMAS!$B$2:$I$122,8,FALSE))</f>
        <v>ISADORA ROSALINO</v>
      </c>
      <c r="C93" s="5" t="str">
        <f>VLOOKUP(TRIM(Tabela2[[#This Row],[SEI]]),Tabela3[[Processo SEI]:[Objeto]],5,FALSE)</f>
        <v>ADAPTAÇÃO DE PONTE FERROVIÁRIA PARA PISTA E CICLOVIA - CARDOSO MOREIRA/RJ</v>
      </c>
      <c r="D93" s="13" t="s">
        <v>158</v>
      </c>
      <c r="E93" s="13" t="s">
        <v>157</v>
      </c>
      <c r="F93" s="11" t="s">
        <v>153</v>
      </c>
      <c r="G93" s="33" t="s">
        <v>12</v>
      </c>
      <c r="H93" s="10" t="s">
        <v>189</v>
      </c>
      <c r="I93" s="41" t="str">
        <f>IFERROR(VLOOKUP(TRIM(Tabela2[[#This Row],[SEI]]),[1]Medições!$B$2:$H$48,7,FALSE),Tabela2[[#This Row],[STATUS_original]])</f>
        <v>CONCLUIDA</v>
      </c>
    </row>
    <row r="94" spans="1:9" x14ac:dyDescent="0.25">
      <c r="A94" s="78" t="s">
        <v>159</v>
      </c>
      <c r="B94" s="85" t="str">
        <f>IFERROR(VLOOKUP(TRIM(A94),[1]Medições!$B$2:$I$48,8,FALSE),VLOOKUP(TRIM(A94),[1]PROBLEMAS!$B$2:$I$122,8,FALSE))</f>
        <v>ISADORA ROSALINO</v>
      </c>
      <c r="C94" s="5" t="str">
        <f>VLOOKUP(TRIM(Tabela2[[#This Row],[SEI]]),Tabela3[[Processo SEI]:[Objeto]],5,FALSE)</f>
        <v>PROJETOS EXECUTIVOS E REFORMA DAS ÁREAS ESPORTIVAS EM CONCEIÇÃO DE MACABU</v>
      </c>
      <c r="D94" s="16" t="s">
        <v>161</v>
      </c>
      <c r="E94" s="18" t="s">
        <v>160</v>
      </c>
      <c r="F94" s="17" t="s">
        <v>133</v>
      </c>
      <c r="G94" s="28" t="s">
        <v>7</v>
      </c>
      <c r="H94" s="10" t="s">
        <v>189</v>
      </c>
      <c r="I94" s="41" t="str">
        <f>IFERROR(VLOOKUP(TRIM(Tabela2[[#This Row],[SEI]]),[1]Medições!$B$2:$H$48,7,FALSE),Tabela2[[#This Row],[STATUS_original]])</f>
        <v>EXECUÇÃO</v>
      </c>
    </row>
    <row r="95" spans="1:9" x14ac:dyDescent="0.25">
      <c r="A95" s="79" t="s">
        <v>162</v>
      </c>
      <c r="B95" s="86" t="str">
        <f>IFERROR(VLOOKUP(TRIM(A95),[1]Medições!$B$2:$I$48,8,FALSE),VLOOKUP(TRIM(A95),[1]PROBLEMAS!$B$2:$I$122,8,FALSE))</f>
        <v>ISADORA ROSALINO</v>
      </c>
      <c r="C95" s="5" t="str">
        <f>VLOOKUP(TRIM(Tabela2[[#This Row],[SEI]]),Tabela3[[Processo SEI]:[Objeto]],5,FALSE)</f>
        <v>PAVIMENTAÇÃO E DRENAGEM NA ESTRADA DO SAL – IGUABA GRANDE/RJ</v>
      </c>
      <c r="D95" s="13" t="s">
        <v>164</v>
      </c>
      <c r="E95" s="14" t="s">
        <v>163</v>
      </c>
      <c r="F95" s="12" t="s">
        <v>133</v>
      </c>
      <c r="G95" s="29" t="s">
        <v>38</v>
      </c>
      <c r="H95" s="10" t="s">
        <v>189</v>
      </c>
      <c r="I95" s="41" t="str">
        <f>IFERROR(VLOOKUP(TRIM(Tabela2[[#This Row],[SEI]]),[1]Medições!$B$2:$H$48,7,FALSE),Tabela2[[#This Row],[STATUS_original]])</f>
        <v>#CONCLUIDA</v>
      </c>
    </row>
    <row r="96" spans="1:9" x14ac:dyDescent="0.25">
      <c r="A96" s="75" t="s">
        <v>224</v>
      </c>
      <c r="B96" s="5" t="str">
        <f>IFERROR(VLOOKUP(TRIM(A96),[1]Medições!$B$2:$I$48,8,FALSE),VLOOKUP(TRIM(A96),[1]PROBLEMAS!$B$2:$I$122,8,FALSE))</f>
        <v>ISADORA ROSALINO</v>
      </c>
      <c r="C96" s="5" t="str">
        <f>VLOOKUP(TRIM(Tabela2[[#This Row],[SEI]]),Tabela3[[Processo SEI]:[Objeto]],5,FALSE)</f>
        <v>PAVIMENTAÇÃO, DRENAGEM E PROJETO – JUPARANÃ, VALENÇA-RJ</v>
      </c>
      <c r="D96" s="5" t="s">
        <v>223</v>
      </c>
      <c r="E96" s="5" t="s">
        <v>226</v>
      </c>
      <c r="F96" s="5" t="s">
        <v>225</v>
      </c>
      <c r="G96" s="37" t="s">
        <v>12</v>
      </c>
      <c r="H96" s="21" t="s">
        <v>259</v>
      </c>
      <c r="I96" s="41" t="str">
        <f>IFERROR(VLOOKUP(TRIM(Tabela2[[#This Row],[SEI]]),[1]Medições!$B$2:$H$48,7,FALSE),Tabela2[[#This Row],[STATUS_original]])</f>
        <v>CONCLUIDA</v>
      </c>
    </row>
    <row r="97" spans="1:9" x14ac:dyDescent="0.25">
      <c r="A97" s="75" t="s">
        <v>247</v>
      </c>
      <c r="B97" s="5" t="str">
        <f>IFERROR(VLOOKUP(TRIM(A97),[1]Medições!$B$2:$I$48,8,FALSE),VLOOKUP(TRIM(A97),[1]PROBLEMAS!$B$2:$I$122,8,FALSE))</f>
        <v>ISADORA ROSALINO</v>
      </c>
      <c r="C97" s="5" t="str">
        <f>VLOOKUP(TRIM(Tabela2[[#This Row],[SEI]]),Tabela3[[Processo SEI]:[Objeto]],5,FALSE)</f>
        <v>RECUPERAÇÃO DE PAVIMENTAÇÃO – VOLTA REDONDA-RJ (LOTE 02)</v>
      </c>
      <c r="D97" s="2" t="s">
        <v>105</v>
      </c>
      <c r="E97" s="2" t="s">
        <v>218</v>
      </c>
      <c r="F97" s="2" t="s">
        <v>90</v>
      </c>
      <c r="G97" s="37" t="s">
        <v>12</v>
      </c>
      <c r="H97" s="21" t="s">
        <v>259</v>
      </c>
      <c r="I97" s="41" t="str">
        <f>IFERROR(VLOOKUP(TRIM(Tabela2[[#This Row],[SEI]]),[1]Medições!$B$2:$H$48,7,FALSE),Tabela2[[#This Row],[STATUS_original]])</f>
        <v>CONCLUIDA</v>
      </c>
    </row>
    <row r="98" spans="1:9" x14ac:dyDescent="0.25">
      <c r="A98" s="75" t="s">
        <v>190</v>
      </c>
      <c r="B98" s="5" t="str">
        <f>IFERROR(VLOOKUP(TRIM(A98),[1]Medições!$B$2:$I$48,8,FALSE),VLOOKUP(TRIM(A98),[1]PROBLEMAS!$B$2:$I$122,8,FALSE))</f>
        <v>JAQUELINE PASTÓRIO</v>
      </c>
      <c r="C98" s="5" t="str">
        <f>VLOOKUP(TRIM(Tabela2[[#This Row],[SEI]]),Tabela3[[Processo SEI]:[Objeto]],5,FALSE)</f>
        <v>CANALIZAÇÃO E URBANIZAÇÃO – AV. PINHEIROS – BARRA MANSA-RJ</v>
      </c>
      <c r="D98" s="5" t="s">
        <v>105</v>
      </c>
      <c r="E98" s="5" t="s">
        <v>192</v>
      </c>
      <c r="F98" s="2" t="s">
        <v>191</v>
      </c>
      <c r="G98" s="34" t="s">
        <v>7</v>
      </c>
      <c r="H98" s="21" t="s">
        <v>259</v>
      </c>
      <c r="I98" s="41" t="str">
        <f>IFERROR(VLOOKUP(TRIM(Tabela2[[#This Row],[SEI]]),[1]Medições!$B$2:$H$48,7,FALSE),Tabela2[[#This Row],[STATUS_original]])</f>
        <v>EXECUÇÃO</v>
      </c>
    </row>
    <row r="99" spans="1:9" x14ac:dyDescent="0.25">
      <c r="A99" s="75" t="s">
        <v>193</v>
      </c>
      <c r="B99" s="8" t="str">
        <f>IFERROR(VLOOKUP(TRIM(A99),[1]Medições!$B$2:$I$48,8,FALSE),VLOOKUP(TRIM(A99),[1]PROBLEMAS!$B$2:$I$122,8,FALSE))</f>
        <v>JAQUELINE PASTÓRIO</v>
      </c>
      <c r="C99" s="5" t="str">
        <f>VLOOKUP(TRIM(Tabela2[[#This Row],[SEI]]),Tabela3[[Processo SEI]:[Objeto]],5,FALSE)</f>
        <v>RESTAURAÇÃO DA ANTIGA OFICINA - CENTRO, VASSOURAS/RJ</v>
      </c>
      <c r="D99" s="2" t="s">
        <v>196</v>
      </c>
      <c r="E99" s="2" t="s">
        <v>195</v>
      </c>
      <c r="F99" s="2" t="s">
        <v>194</v>
      </c>
      <c r="G99" s="34" t="s">
        <v>7</v>
      </c>
      <c r="H99" s="21" t="s">
        <v>259</v>
      </c>
      <c r="I99" s="41" t="str">
        <f>IFERROR(VLOOKUP(TRIM(Tabela2[[#This Row],[SEI]]),[1]Medições!$B$2:$H$48,7,FALSE),Tabela2[[#This Row],[STATUS_original]])</f>
        <v>EXECUÇÃO</v>
      </c>
    </row>
    <row r="100" spans="1:9" x14ac:dyDescent="0.25">
      <c r="A100" s="75" t="s">
        <v>197</v>
      </c>
      <c r="B100" s="5" t="str">
        <f>IFERROR(VLOOKUP(TRIM(A100),[1]Medições!$B$2:$I$48,8,FALSE),VLOOKUP(TRIM(A100),[1]PROBLEMAS!$B$2:$I$122,8,FALSE))</f>
        <v>JAQUELINE PASTÓRIO</v>
      </c>
      <c r="C100" s="5" t="str">
        <f>VLOOKUP(TRIM(Tabela2[[#This Row],[SEI]]),Tabela3[[Processo SEI]:[Objeto]],5,FALSE)</f>
        <v>RECUPERAÇÃO DE PAVIMENTAÇÃO – BARRA MANSA-RJ (#FUNDO SOBERADO)</v>
      </c>
      <c r="D100" s="2" t="s">
        <v>198</v>
      </c>
      <c r="E100" s="2" t="s">
        <v>192</v>
      </c>
      <c r="F100" s="2" t="s">
        <v>191</v>
      </c>
      <c r="G100" s="35" t="s">
        <v>7</v>
      </c>
      <c r="H100" s="21" t="s">
        <v>259</v>
      </c>
      <c r="I100" s="41" t="str">
        <f>IFERROR(VLOOKUP(TRIM(Tabela2[[#This Row],[SEI]]),[1]Medições!$B$2:$H$48,7,FALSE),Tabela2[[#This Row],[STATUS_original]])</f>
        <v>EXECUÇÃO</v>
      </c>
    </row>
    <row r="101" spans="1:9" x14ac:dyDescent="0.25">
      <c r="A101" s="75" t="s">
        <v>212</v>
      </c>
      <c r="B101" s="5" t="str">
        <f>IFERROR(VLOOKUP(TRIM(A101),[1]Medições!$B$2:$I$48,8,FALSE),VLOOKUP(TRIM(A101),[1]PROBLEMAS!$B$2:$I$122,8,FALSE))</f>
        <v>JAQUELINE PASTÓRIO</v>
      </c>
      <c r="C101" s="5" t="str">
        <f>VLOOKUP(TRIM(Tabela2[[#This Row],[SEI]]),Tabela3[[Processo SEI]:[Objeto]],5,FALSE)</f>
        <v>REFORMA – PRAÇA DR. OLIVEIRA BOTELHO – RESENDE-RJ</v>
      </c>
      <c r="D101" s="5" t="s">
        <v>213</v>
      </c>
      <c r="E101" s="5" t="s">
        <v>211</v>
      </c>
      <c r="F101" s="2" t="s">
        <v>191</v>
      </c>
      <c r="G101" s="34" t="s">
        <v>38</v>
      </c>
      <c r="H101" s="21" t="s">
        <v>259</v>
      </c>
      <c r="I101" s="41" t="str">
        <f>IFERROR(VLOOKUP(TRIM(Tabela2[[#This Row],[SEI]]),[1]Medições!$B$2:$H$48,7,FALSE),Tabela2[[#This Row],[STATUS_original]])</f>
        <v>#CONCLUIDA</v>
      </c>
    </row>
    <row r="102" spans="1:9" x14ac:dyDescent="0.25">
      <c r="A102" s="75" t="s">
        <v>214</v>
      </c>
      <c r="B102" s="5" t="str">
        <f>IFERROR(VLOOKUP(TRIM(A102),[1]Medições!$B$2:$I$48,8,FALSE),VLOOKUP(TRIM(A102),[1]PROBLEMAS!$B$2:$I$122,8,FALSE))</f>
        <v>JAQUELINE PASTÓRIO</v>
      </c>
      <c r="C102" s="5" t="str">
        <f>VLOOKUP(TRIM(Tabela2[[#This Row],[SEI]]),Tabela3[[Processo SEI]:[Objeto]],5,FALSE)</f>
        <v>PAVIMENTAÇÃO – ESTRADA ALTO DOS NEGROS – RIO CLARO-RJ</v>
      </c>
      <c r="D102" s="5" t="s">
        <v>18</v>
      </c>
      <c r="E102" s="5" t="s">
        <v>96</v>
      </c>
      <c r="F102" s="2" t="s">
        <v>191</v>
      </c>
      <c r="G102" s="36" t="s">
        <v>12</v>
      </c>
      <c r="H102" s="21" t="s">
        <v>259</v>
      </c>
      <c r="I102" s="41" t="str">
        <f>IFERROR(VLOOKUP(TRIM(Tabela2[[#This Row],[SEI]]),[1]Medições!$B$2:$H$48,7,FALSE),Tabela2[[#This Row],[STATUS_original]])</f>
        <v>CONCLUIDA</v>
      </c>
    </row>
    <row r="103" spans="1:9" x14ac:dyDescent="0.25">
      <c r="A103" s="75" t="s">
        <v>215</v>
      </c>
      <c r="B103" s="5" t="str">
        <f>IFERROR(VLOOKUP(TRIM(A103),[1]Medições!$B$2:$I$48,8,FALSE),VLOOKUP(TRIM(A103),[1]PROBLEMAS!$B$2:$I$122,8,FALSE))</f>
        <v>JAQUELINE PASTÓRIO</v>
      </c>
      <c r="C103" s="5" t="str">
        <f>VLOOKUP(TRIM(Tabela2[[#This Row],[SEI]]),Tabela3[[Processo SEI]:[Objeto]],5,FALSE)</f>
        <v>DRENAGEM E PASSEIOS – RUAS DE POUSO SECO – RIO CLARO-RJ</v>
      </c>
      <c r="D103" s="5" t="s">
        <v>216</v>
      </c>
      <c r="E103" s="5" t="s">
        <v>96</v>
      </c>
      <c r="F103" s="2" t="s">
        <v>191</v>
      </c>
      <c r="G103" s="34" t="s">
        <v>7</v>
      </c>
      <c r="H103" s="21" t="s">
        <v>259</v>
      </c>
      <c r="I103" s="41" t="str">
        <f>IFERROR(VLOOKUP(TRIM(Tabela2[[#This Row],[SEI]]),[1]Medições!$B$2:$H$48,7,FALSE),Tabela2[[#This Row],[STATUS_original]])</f>
        <v>EXECUÇÃO</v>
      </c>
    </row>
    <row r="104" spans="1:9" x14ac:dyDescent="0.25">
      <c r="A104" s="75" t="s">
        <v>217</v>
      </c>
      <c r="B104" s="5" t="str">
        <f>IFERROR(VLOOKUP(TRIM(A104),[1]Medições!$B$2:$I$48,8,FALSE),VLOOKUP(TRIM(A104),[1]PROBLEMAS!$B$2:$I$122,8,FALSE))</f>
        <v>JAQUELINE PASTÓRIO</v>
      </c>
      <c r="C104" s="5" t="str">
        <f>VLOOKUP(TRIM(Tabela2[[#This Row],[SEI]]),Tabela3[[Processo SEI]:[Objeto]],5,FALSE)</f>
        <v>PAVIMENTAÇÃO, CALÇADAS E VIADUTO – DEMOB I – VOLTA REDONDA-RJ</v>
      </c>
      <c r="D104" s="2" t="s">
        <v>219</v>
      </c>
      <c r="E104" s="2" t="s">
        <v>218</v>
      </c>
      <c r="F104" s="5" t="s">
        <v>191</v>
      </c>
      <c r="G104" s="35" t="s">
        <v>7</v>
      </c>
      <c r="H104" s="21" t="s">
        <v>259</v>
      </c>
      <c r="I104" s="41" t="str">
        <f>IFERROR(VLOOKUP(TRIM(Tabela2[[#This Row],[SEI]]),[1]Medições!$B$2:$H$48,7,FALSE),Tabela2[[#This Row],[STATUS_original]])</f>
        <v>EXECUÇÃO</v>
      </c>
    </row>
    <row r="105" spans="1:9" x14ac:dyDescent="0.25">
      <c r="A105" s="75" t="s">
        <v>227</v>
      </c>
      <c r="B105" s="5" t="str">
        <f>IFERROR(VLOOKUP(TRIM(A105),[1]Medições!$B$2:$I$48,8,FALSE),VLOOKUP(TRIM(A105),[1]PROBLEMAS!$B$2:$I$122,8,FALSE))</f>
        <v>JAQUELINE PASTÓRIO</v>
      </c>
      <c r="C105" s="5" t="str">
        <f>VLOOKUP(TRIM(Tabela2[[#This Row],[SEI]]),Tabela3[[Processo SEI]:[Objeto]],5,FALSE)</f>
        <v>USINAGEM, TRANSPORTE E PAVIMENTAÇÃO EM CBUQ – BARRA MANSA/RJ</v>
      </c>
      <c r="D105" s="5" t="s">
        <v>66</v>
      </c>
      <c r="E105" s="5" t="s">
        <v>192</v>
      </c>
      <c r="F105" s="2" t="s">
        <v>191</v>
      </c>
      <c r="G105" s="22" t="s">
        <v>38</v>
      </c>
      <c r="H105" s="21" t="s">
        <v>259</v>
      </c>
      <c r="I105" s="41" t="str">
        <f>IFERROR(VLOOKUP(TRIM(Tabela2[[#This Row],[SEI]]),[1]Medições!$B$2:$H$48,7,FALSE),Tabela2[[#This Row],[STATUS_original]])</f>
        <v>#CONCLUIDA</v>
      </c>
    </row>
    <row r="106" spans="1:9" x14ac:dyDescent="0.25">
      <c r="A106" s="75" t="s">
        <v>236</v>
      </c>
      <c r="B106" s="5" t="str">
        <f>IFERROR(VLOOKUP(TRIM(A106),[1]Medições!$B$2:$I$48,8,FALSE),VLOOKUP(TRIM(A106),[1]PROBLEMAS!$B$2:$I$122,8,FALSE))</f>
        <v>JAQUELINE PASTÓRIO</v>
      </c>
      <c r="C106" s="5" t="str">
        <f>VLOOKUP(TRIM(Tabela2[[#This Row],[SEI]]),Tabela3[[Processo SEI]:[Objeto]],5,FALSE)</f>
        <v>PROJETO E OBRAS – MUSEU DA CIÊNCIA – VOLTA REDONDA-RJ</v>
      </c>
      <c r="D106" s="2" t="s">
        <v>237</v>
      </c>
      <c r="E106" s="2" t="s">
        <v>218</v>
      </c>
      <c r="F106" s="2" t="s">
        <v>191</v>
      </c>
      <c r="G106" s="22" t="s">
        <v>38</v>
      </c>
      <c r="H106" s="21" t="s">
        <v>259</v>
      </c>
      <c r="I106" s="41" t="str">
        <f>IFERROR(VLOOKUP(TRIM(Tabela2[[#This Row],[SEI]]),[1]Medições!$B$2:$H$48,7,FALSE),Tabela2[[#This Row],[STATUS_original]])</f>
        <v>#CONCLUIDA</v>
      </c>
    </row>
    <row r="107" spans="1:9" x14ac:dyDescent="0.25">
      <c r="A107" s="75" t="s">
        <v>238</v>
      </c>
      <c r="B107" s="5" t="str">
        <f>IFERROR(VLOOKUP(TRIM(A107),[1]Medições!$B$2:$I$48,8,FALSE),VLOOKUP(TRIM(A107),[1]PROBLEMAS!$B$2:$I$122,8,FALSE))</f>
        <v>JAQUELINE PASTÓRIO</v>
      </c>
      <c r="C107" s="5" t="str">
        <f>VLOOKUP(TRIM(Tabela2[[#This Row],[SEI]]),Tabela3[[Processo SEI]:[Objeto]],5,FALSE)</f>
        <v>MELHORIA VIÁRIA – DEMOB II – VOLTA REDONDA-RJ</v>
      </c>
      <c r="D107" s="2" t="s">
        <v>239</v>
      </c>
      <c r="E107" s="2" t="s">
        <v>218</v>
      </c>
      <c r="F107" s="5" t="s">
        <v>191</v>
      </c>
      <c r="G107" s="35" t="s">
        <v>7</v>
      </c>
      <c r="H107" s="21" t="s">
        <v>259</v>
      </c>
      <c r="I107" s="41" t="str">
        <f>IFERROR(VLOOKUP(TRIM(Tabela2[[#This Row],[SEI]]),[1]Medições!$B$2:$H$48,7,FALSE),Tabela2[[#This Row],[STATUS_original]])</f>
        <v>EXECUÇÃO</v>
      </c>
    </row>
    <row r="108" spans="1:9" x14ac:dyDescent="0.25">
      <c r="A108" s="75" t="s">
        <v>243</v>
      </c>
      <c r="B108" s="5" t="str">
        <f>IFERROR(VLOOKUP(TRIM(A108),[1]Medições!$B$2:$I$48,8,FALSE),VLOOKUP(TRIM(A108),[1]PROBLEMAS!$B$2:$I$122,8,FALSE))</f>
        <v>JAQUELINE PASTÓRIO</v>
      </c>
      <c r="C108" s="5" t="str">
        <f>VLOOKUP(TRIM(Tabela2[[#This Row],[SEI]]),Tabela3[[Processo SEI]:[Objeto]],5,FALSE)</f>
        <v>CONSTRUÇÃO DE PONTE – EIXO NORTE-SUL – DEMOB III – VOLTA REDONDA-RJ</v>
      </c>
      <c r="D108" s="2" t="s">
        <v>244</v>
      </c>
      <c r="E108" s="2" t="s">
        <v>218</v>
      </c>
      <c r="F108" s="2" t="s">
        <v>191</v>
      </c>
      <c r="G108" s="35" t="s">
        <v>7</v>
      </c>
      <c r="H108" s="21" t="s">
        <v>259</v>
      </c>
      <c r="I108" s="41" t="str">
        <f>IFERROR(VLOOKUP(TRIM(Tabela2[[#This Row],[SEI]]),[1]Medições!$B$2:$H$48,7,FALSE),Tabela2[[#This Row],[STATUS_original]])</f>
        <v>EXECUÇÃO</v>
      </c>
    </row>
    <row r="109" spans="1:9" x14ac:dyDescent="0.25">
      <c r="A109" s="75" t="s">
        <v>245</v>
      </c>
      <c r="B109" s="5" t="str">
        <f>IFERROR(VLOOKUP(TRIM(A109),[1]Medições!$B$2:$I$48,8,FALSE),VLOOKUP(TRIM(A109),[1]PROBLEMAS!$B$2:$I$122,8,FALSE))</f>
        <v>JAQUELINE PASTÓRIO</v>
      </c>
      <c r="C109" s="5" t="str">
        <f>VLOOKUP(TRIM(Tabela2[[#This Row],[SEI]]),Tabela3[[Processo SEI]:[Objeto]],5,FALSE)</f>
        <v>PAVIMENTAÇÃO E SINALIZAÇÃO – PROJETO E EXECUÇÃO – VALENÇA-RJ (#FUNDO SOBERANO)</v>
      </c>
      <c r="D109" s="2" t="s">
        <v>246</v>
      </c>
      <c r="E109" s="2" t="s">
        <v>226</v>
      </c>
      <c r="F109" s="2" t="s">
        <v>191</v>
      </c>
      <c r="G109" s="35" t="s">
        <v>7</v>
      </c>
      <c r="H109" s="21" t="s">
        <v>259</v>
      </c>
      <c r="I109" s="41" t="str">
        <f>IFERROR(VLOOKUP(TRIM(Tabela2[[#This Row],[SEI]]),[1]Medições!$B$2:$H$48,7,FALSE),Tabela2[[#This Row],[STATUS_original]])</f>
        <v>EXECUÇÃO</v>
      </c>
    </row>
    <row r="110" spans="1:9" x14ac:dyDescent="0.25">
      <c r="A110" s="75" t="s">
        <v>253</v>
      </c>
      <c r="B110" s="5" t="str">
        <f>IFERROR(VLOOKUP(TRIM(A110),[1]Medições!$B$2:$I$48,8,FALSE),VLOOKUP(TRIM(A110),[1]PROBLEMAS!$B$2:$I$122,8,FALSE))</f>
        <v>JAQUELINE PASTÓRIO</v>
      </c>
      <c r="C110" s="5" t="str">
        <f>VLOOKUP(TRIM(Tabela2[[#This Row],[SEI]]),Tabela3[[Processo SEI]:[Objeto]],5,FALSE)</f>
        <v>PAVIMENTAÇÃO E DRENAGEM – AV. PRESIDENTE KENNEDY – BARRA MANSA-RJ</v>
      </c>
      <c r="D110" s="5" t="s">
        <v>105</v>
      </c>
      <c r="E110" s="5" t="s">
        <v>192</v>
      </c>
      <c r="F110" s="2" t="s">
        <v>191</v>
      </c>
      <c r="G110" s="34" t="s">
        <v>7</v>
      </c>
      <c r="H110" s="21" t="s">
        <v>259</v>
      </c>
      <c r="I110" s="41" t="str">
        <f>IFERROR(VLOOKUP(TRIM(Tabela2[[#This Row],[SEI]]),[1]Medições!$B$2:$H$48,7,FALSE),Tabela2[[#This Row],[STATUS_original]])</f>
        <v>EXECUÇÃO</v>
      </c>
    </row>
    <row r="111" spans="1:9" x14ac:dyDescent="0.25">
      <c r="A111" s="75" t="s">
        <v>254</v>
      </c>
      <c r="B111" s="5" t="str">
        <f>IFERROR(VLOOKUP(TRIM(A111),[1]Medições!$B$2:$I$48,8,FALSE),VLOOKUP(TRIM(A111),[1]PROBLEMAS!$B$2:$I$122,8,FALSE))</f>
        <v>JAQUELINE PASTÓRIO</v>
      </c>
      <c r="C111" s="5" t="str">
        <f>VLOOKUP(TRIM(Tabela2[[#This Row],[SEI]]),Tabela3[[Processo SEI]:[Objeto]],5,FALSE)</f>
        <v>PAVIMENTAÇÃO E URBANIZAÇÃO – BAIRRO VARJÃO  - PINHEIRAL/RJ</v>
      </c>
      <c r="D111" s="5" t="s">
        <v>256</v>
      </c>
      <c r="E111" s="5" t="s">
        <v>255</v>
      </c>
      <c r="F111" s="2" t="s">
        <v>191</v>
      </c>
      <c r="G111" s="34" t="s">
        <v>7</v>
      </c>
      <c r="H111" s="21" t="s">
        <v>259</v>
      </c>
      <c r="I111" s="41" t="str">
        <f>IFERROR(VLOOKUP(TRIM(Tabela2[[#This Row],[SEI]]),[1]Medições!$B$2:$H$48,7,FALSE),Tabela2[[#This Row],[STATUS_original]])</f>
        <v>EXECUÇÃO</v>
      </c>
    </row>
    <row r="112" spans="1:9" x14ac:dyDescent="0.25">
      <c r="A112" s="75" t="s">
        <v>257</v>
      </c>
      <c r="B112" s="5" t="str">
        <f>IFERROR(VLOOKUP(TRIM(A112),[1]Medições!$B$2:$I$48,8,FALSE),VLOOKUP(TRIM(A112),[1]PROBLEMAS!$B$2:$I$122,8,FALSE))</f>
        <v>JAQUELINE PASTÓRIO</v>
      </c>
      <c r="C112" s="5" t="str">
        <f>VLOOKUP(TRIM(Tabela2[[#This Row],[SEI]]),Tabela3[[Processo SEI]:[Objeto]],5,FALSE)</f>
        <v>REVESTIMENTO ASFÁLTICO, DRENAGEM, CONSTRUÇÃO DE GALERIAS DE ÁGUAS PLUVIAIS, URBANIZAÇÃO, CICLOFAIXA E ESTABILIZAÇÃO DE TALUDE, MUNICÍPIO DE BARRA DO PIRAÍ - RJJ</v>
      </c>
      <c r="D112" s="2" t="s">
        <v>258</v>
      </c>
      <c r="E112" s="2" t="s">
        <v>242</v>
      </c>
      <c r="F112" s="2" t="s">
        <v>191</v>
      </c>
      <c r="G112" s="34" t="s">
        <v>7</v>
      </c>
      <c r="H112" s="21" t="s">
        <v>259</v>
      </c>
      <c r="I112" s="41" t="str">
        <f>IFERROR(VLOOKUP(TRIM(Tabela2[[#This Row],[SEI]]),[1]Medições!$B$2:$H$48,7,FALSE),Tabela2[[#This Row],[STATUS_original]])</f>
        <v>EXECUÇÃO</v>
      </c>
    </row>
    <row r="113" spans="1:9" x14ac:dyDescent="0.25">
      <c r="A113" s="38" t="s">
        <v>284</v>
      </c>
      <c r="B113" s="8" t="str">
        <f>IFERROR(VLOOKUP(TRIM(A113),[1]Medições!$B$2:$I$48,8,FALSE),VLOOKUP(TRIM(A113),[1]PROBLEMAS!$B$2:$I$122,8,FALSE))</f>
        <v>JAQUELINE PASTÓRIO</v>
      </c>
      <c r="C113" s="5" t="str">
        <f>VLOOKUP(TRIM(Tabela2[[#This Row],[SEI]]),Tabela3[[Processo SEI]:[Objeto]],5,FALSE)</f>
        <v>CONTENÇÃO E DRENAGEM - ILHA DO ARROZ, ANGRA DOS REIS/RJ</v>
      </c>
      <c r="D113" s="8" t="s">
        <v>286</v>
      </c>
      <c r="E113" s="8" t="s">
        <v>285</v>
      </c>
      <c r="F113" s="8" t="s">
        <v>282</v>
      </c>
      <c r="G113" s="8" t="s">
        <v>12</v>
      </c>
      <c r="H113" s="8" t="s">
        <v>328</v>
      </c>
      <c r="I113" s="41" t="str">
        <f>IFERROR(VLOOKUP(TRIM(Tabela2[[#This Row],[SEI]]),[1]Medições!$B$2:$H$48,7,FALSE),Tabela2[[#This Row],[STATUS_original]])</f>
        <v>CONCLUIDA</v>
      </c>
    </row>
    <row r="114" spans="1:9" x14ac:dyDescent="0.25">
      <c r="A114" s="38" t="s">
        <v>304</v>
      </c>
      <c r="B114" s="8" t="str">
        <f>IFERROR(VLOOKUP(TRIM(A114),[1]Medições!$B$2:$I$48,8,FALSE),VLOOKUP(TRIM(A114),[1]PROBLEMAS!$B$2:$I$122,8,FALSE))</f>
        <v>JAQUELINE PASTÓRIO</v>
      </c>
      <c r="C114" s="5" t="str">
        <f>VLOOKUP(TRIM(Tabela2[[#This Row],[SEI]]),Tabela3[[Processo SEI]:[Objeto]],5,FALSE)</f>
        <v>ESTABILIZAÇÃO DE TALUDE - VILA MURIQUI, MANGARATIBA/RJ</v>
      </c>
      <c r="D114" s="8" t="s">
        <v>279</v>
      </c>
      <c r="E114" s="8" t="s">
        <v>42</v>
      </c>
      <c r="F114" s="8" t="s">
        <v>282</v>
      </c>
      <c r="G114" s="8" t="s">
        <v>12</v>
      </c>
      <c r="H114" s="8" t="s">
        <v>328</v>
      </c>
      <c r="I114" s="41" t="str">
        <f>IFERROR(VLOOKUP(TRIM(Tabela2[[#This Row],[SEI]]),[1]Medições!$B$2:$H$48,7,FALSE),Tabela2[[#This Row],[STATUS_original]])</f>
        <v>CONCLUIDA</v>
      </c>
    </row>
    <row r="115" spans="1:9" x14ac:dyDescent="0.25">
      <c r="A115" s="38" t="s">
        <v>305</v>
      </c>
      <c r="B115" s="8" t="str">
        <f>IFERROR(VLOOKUP(TRIM(A115),[1]Medições!$B$2:$I$48,8,FALSE),VLOOKUP(TRIM(A115),[1]PROBLEMAS!$B$2:$I$122,8,FALSE))</f>
        <v>JAQUELINE PASTÓRIO</v>
      </c>
      <c r="C115" s="5" t="str">
        <f>VLOOKUP(TRIM(Tabela2[[#This Row],[SEI]]),Tabela3[[Processo SEI]:[Objeto]],5,FALSE)</f>
        <v>RECOMPOSIÇÃO DO DIQUE E MARGEM DO RIO PARAÍBA DO SUL - CAMPOS DOS GOYTACAZES/RJ</v>
      </c>
      <c r="D115" s="8" t="s">
        <v>306</v>
      </c>
      <c r="E115" s="8" t="s">
        <v>187</v>
      </c>
      <c r="F115" s="8" t="s">
        <v>282</v>
      </c>
      <c r="G115" s="8" t="s">
        <v>12</v>
      </c>
      <c r="H115" s="8" t="s">
        <v>328</v>
      </c>
      <c r="I115" s="41" t="str">
        <f>IFERROR(VLOOKUP(TRIM(Tabela2[[#This Row],[SEI]]),[1]Medições!$B$2:$H$48,7,FALSE),Tabela2[[#This Row],[STATUS_original]])</f>
        <v>CONCLUIDA</v>
      </c>
    </row>
    <row r="116" spans="1:9" x14ac:dyDescent="0.25">
      <c r="A116" s="38" t="s">
        <v>310</v>
      </c>
      <c r="B116" s="8" t="str">
        <f>IFERROR(VLOOKUP(TRIM(A116),[1]Medições!$B$2:$I$48,8,FALSE),VLOOKUP(TRIM(A116),[1]PROBLEMAS!$B$2:$I$122,8,FALSE))</f>
        <v>JAQUELINE PASTÓRIO</v>
      </c>
      <c r="C116" s="5" t="str">
        <f>VLOOKUP(TRIM(Tabela2[[#This Row],[SEI]]),Tabela3[[Processo SEI]:[Objeto]],5,FALSE)</f>
        <v>CONSTRUÇÃO DE EQUIPAMENTO MODULAR PARA O COLÉGIO ZILDA ARNS - GUARATIBA - RJ</v>
      </c>
      <c r="D116" s="8" t="s">
        <v>309</v>
      </c>
      <c r="E116" s="8" t="s">
        <v>108</v>
      </c>
      <c r="F116" s="8" t="s">
        <v>282</v>
      </c>
      <c r="G116" s="8" t="s">
        <v>21</v>
      </c>
      <c r="H116" s="8" t="s">
        <v>328</v>
      </c>
      <c r="I116" s="41" t="str">
        <f>IFERROR(VLOOKUP(TRIM(Tabela2[[#This Row],[SEI]]),[1]Medições!$B$2:$H$48,7,FALSE),Tabela2[[#This Row],[STATUS_original]])</f>
        <v>DISTRATO</v>
      </c>
    </row>
    <row r="117" spans="1:9" x14ac:dyDescent="0.25">
      <c r="A117" s="38" t="s">
        <v>322</v>
      </c>
      <c r="B117" s="8" t="str">
        <f>IFERROR(VLOOKUP(TRIM(A117),[1]Medições!$B$2:$I$48,8,FALSE),VLOOKUP(TRIM(A117),[1]PROBLEMAS!$B$2:$I$122,8,FALSE))</f>
        <v>JAQUELINE PASTÓRIO</v>
      </c>
      <c r="C117" s="5" t="str">
        <f>VLOOKUP(TRIM(Tabela2[[#This Row],[SEI]]),Tabela3[[Processo SEI]:[Objeto]],5,FALSE)</f>
        <v>PAVIMENTAÇÃO E DRENAGEM EM CENTRO DE NOVA FRIBURGO</v>
      </c>
      <c r="D117" s="8" t="s">
        <v>86</v>
      </c>
      <c r="E117" s="8" t="s">
        <v>167</v>
      </c>
      <c r="F117" s="8" t="s">
        <v>282</v>
      </c>
      <c r="G117" s="8" t="s">
        <v>12</v>
      </c>
      <c r="H117" s="8" t="s">
        <v>328</v>
      </c>
      <c r="I117" s="41" t="str">
        <f>IFERROR(VLOOKUP(TRIM(Tabela2[[#This Row],[SEI]]),[1]Medições!$B$2:$H$48,7,FALSE),Tabela2[[#This Row],[STATUS_original]])</f>
        <v>CONCLUIDA</v>
      </c>
    </row>
    <row r="118" spans="1:9" x14ac:dyDescent="0.25">
      <c r="A118" s="7" t="s">
        <v>101</v>
      </c>
      <c r="B118" s="1" t="str">
        <f>IFERROR(VLOOKUP(TRIM(A118),[1]Medições!$B$2:$I$48,8,FALSE),VLOOKUP(TRIM(A118),[1]PROBLEMAS!$B$2:$I$122,8,FALSE))</f>
        <v>JEHNIFFER PIRES</v>
      </c>
      <c r="C118" s="5" t="str">
        <f>VLOOKUP(TRIM(Tabela2[[#This Row],[SEI]]),Tabela3[[Processo SEI]:[Objeto]],5,FALSE)</f>
        <v>CONSTRUÇÃO DO CENTRO DE CONVENÇÕES JACKSON UCHOA VIANNA – MIGUEL PEREIRA/RJ</v>
      </c>
      <c r="D118" s="1" t="s">
        <v>103</v>
      </c>
      <c r="E118" s="1" t="s">
        <v>102</v>
      </c>
      <c r="F118" s="3" t="s">
        <v>58</v>
      </c>
      <c r="G118" s="22" t="s">
        <v>38</v>
      </c>
      <c r="H118" s="21" t="s">
        <v>131</v>
      </c>
      <c r="I118" s="41" t="str">
        <f>IFERROR(VLOOKUP(TRIM(Tabela2[[#This Row],[SEI]]),[1]Medições!$B$2:$H$48,7,FALSE),Tabela2[[#This Row],[STATUS_original]])</f>
        <v>#CONCLUIDA</v>
      </c>
    </row>
    <row r="119" spans="1:9" x14ac:dyDescent="0.25">
      <c r="A119" s="77" t="s">
        <v>146</v>
      </c>
      <c r="B119" s="85" t="str">
        <f>IFERROR(VLOOKUP(TRIM(A119),[1]Medições!$B$2:$I$48,8,FALSE),VLOOKUP(TRIM(A119),[1]PROBLEMAS!$B$2:$I$122,8,FALSE))</f>
        <v>JEHNIFFER PIRES</v>
      </c>
      <c r="C119" s="5" t="str">
        <f>VLOOKUP(TRIM(Tabela2[[#This Row],[SEI]]),Tabela3[[Processo SEI]:[Objeto]],5,FALSE)</f>
        <v>PROJETOS EXECUTIVOS E RECAPEAMENTO VIÁRIO EM CAMPOS</v>
      </c>
      <c r="D119" s="16" t="s">
        <v>148</v>
      </c>
      <c r="E119" s="16" t="s">
        <v>134</v>
      </c>
      <c r="F119" s="15" t="s">
        <v>147</v>
      </c>
      <c r="G119" s="30" t="s">
        <v>21</v>
      </c>
      <c r="H119" s="10" t="s">
        <v>189</v>
      </c>
      <c r="I119" s="41" t="str">
        <f>IFERROR(VLOOKUP(TRIM(Tabela2[[#This Row],[SEI]]),[1]Medições!$B$2:$H$48,7,FALSE),Tabela2[[#This Row],[STATUS_original]])</f>
        <v>DISTRATO</v>
      </c>
    </row>
    <row r="120" spans="1:9" x14ac:dyDescent="0.25">
      <c r="A120" s="79" t="s">
        <v>169</v>
      </c>
      <c r="B120" s="86" t="str">
        <f>IFERROR(VLOOKUP(TRIM(A120),[1]Medições!$B$2:$I$48,8,FALSE),VLOOKUP(TRIM(A120),[1]PROBLEMAS!$B$2:$I$122,8,FALSE))</f>
        <v>JEHNIFFER PIRES</v>
      </c>
      <c r="C120" s="5" t="str">
        <f>VLOOKUP(TRIM(Tabela2[[#This Row],[SEI]]),Tabela3[[Processo SEI]:[Objeto]],5,FALSE)</f>
        <v>PAVIMENTAÇÃO, ÁGUA, ESGOTO E DRENAGEM EM FAROL DE SÃO THOMÉ - CAMPOS</v>
      </c>
      <c r="D120" s="13" t="s">
        <v>171</v>
      </c>
      <c r="E120" s="14" t="s">
        <v>134</v>
      </c>
      <c r="F120" s="12" t="s">
        <v>170</v>
      </c>
      <c r="G120" s="29" t="s">
        <v>38</v>
      </c>
      <c r="H120" s="10" t="s">
        <v>189</v>
      </c>
      <c r="I120" s="41" t="str">
        <f>IFERROR(VLOOKUP(TRIM(Tabela2[[#This Row],[SEI]]),[1]Medições!$B$2:$H$48,7,FALSE),Tabela2[[#This Row],[STATUS_original]])</f>
        <v>#CONCLUIDA</v>
      </c>
    </row>
    <row r="121" spans="1:9" x14ac:dyDescent="0.25">
      <c r="A121" s="78" t="s">
        <v>172</v>
      </c>
      <c r="B121" s="85" t="str">
        <f>IFERROR(VLOOKUP(TRIM(A121),[1]Medições!$B$2:$I$48,8,FALSE),VLOOKUP(TRIM(A121),[1]PROBLEMAS!$B$2:$I$122,8,FALSE))</f>
        <v>JEHNIFFER PIRES</v>
      </c>
      <c r="C121" s="5" t="str">
        <f>VLOOKUP(TRIM(Tabela2[[#This Row],[SEI]]),Tabela3[[Processo SEI]:[Objeto]],5,FALSE)</f>
        <v>CONSTRUÇÃO DO COMPLEXO URBANÍSTICO CARDOSO MOREIRA – RJ</v>
      </c>
      <c r="D121" s="16" t="s">
        <v>174</v>
      </c>
      <c r="E121" s="18" t="s">
        <v>173</v>
      </c>
      <c r="F121" s="17" t="s">
        <v>112</v>
      </c>
      <c r="G121" s="28" t="s">
        <v>7</v>
      </c>
      <c r="H121" s="10" t="s">
        <v>189</v>
      </c>
      <c r="I121" s="41" t="str">
        <f>IFERROR(VLOOKUP(TRIM(Tabela2[[#This Row],[SEI]]),[1]Medições!$B$2:$H$48,7,FALSE),Tabela2[[#This Row],[STATUS_original]])</f>
        <v>EXECUÇÃO</v>
      </c>
    </row>
    <row r="122" spans="1:9" x14ac:dyDescent="0.25">
      <c r="A122" s="79" t="s">
        <v>175</v>
      </c>
      <c r="B122" s="86" t="str">
        <f>IFERROR(VLOOKUP(TRIM(A122),[1]Medições!$B$2:$I$48,8,FALSE),VLOOKUP(TRIM(A122),[1]PROBLEMAS!$B$2:$I$122,8,FALSE))</f>
        <v>JEHNIFFER PIRES</v>
      </c>
      <c r="C122" s="5" t="str">
        <f>VLOOKUP(TRIM(Tabela2[[#This Row],[SEI]]),Tabela3[[Processo SEI]:[Objeto]],5,FALSE)</f>
        <v>PAVIMENTAÇÃO E RECAPEAMENTO EM NITERÓI E AEROPORTO – ITAPERUNA/RJ</v>
      </c>
      <c r="D122" s="13" t="s">
        <v>177</v>
      </c>
      <c r="E122" s="14" t="s">
        <v>176</v>
      </c>
      <c r="F122" s="12" t="s">
        <v>112</v>
      </c>
      <c r="G122" s="29" t="s">
        <v>7</v>
      </c>
      <c r="H122" s="10" t="s">
        <v>189</v>
      </c>
      <c r="I122" s="41" t="str">
        <f>IFERROR(VLOOKUP(TRIM(Tabela2[[#This Row],[SEI]]),[1]Medições!$B$2:$H$48,7,FALSE),Tabela2[[#This Row],[STATUS_original]])</f>
        <v>EXECUÇÃO</v>
      </c>
    </row>
    <row r="123" spans="1:9" x14ac:dyDescent="0.25">
      <c r="A123" s="77" t="s">
        <v>183</v>
      </c>
      <c r="B123" s="83" t="str">
        <f>IFERROR(VLOOKUP(TRIM(A123),[1]Medições!$B$2:$I$48,8,FALSE),VLOOKUP(TRIM(A123),[1]PROBLEMAS!$B$2:$I$122,8,FALSE))</f>
        <v>JEHNIFFER PIRES</v>
      </c>
      <c r="C123" s="5" t="str">
        <f>VLOOKUP(TRIM(Tabela2[[#This Row],[SEI]]),Tabela3[[Processo SEI]:[Objeto]],5,FALSE)</f>
        <v>REVITALIZAÇÃO URBANA – BAIRRO VALÃO DO BARRO, SÃO SEBASTIÃO DO ALTO/RJ</v>
      </c>
      <c r="D123" s="16" t="s">
        <v>180</v>
      </c>
      <c r="E123" s="16" t="s">
        <v>184</v>
      </c>
      <c r="F123" s="15" t="s">
        <v>112</v>
      </c>
      <c r="G123" s="27" t="s">
        <v>7</v>
      </c>
      <c r="H123" s="10" t="s">
        <v>189</v>
      </c>
      <c r="I123" s="41" t="str">
        <f>IFERROR(VLOOKUP(TRIM(Tabela2[[#This Row],[SEI]]),[1]Medições!$B$2:$H$48,7,FALSE),Tabela2[[#This Row],[STATUS_original]])</f>
        <v>EXECUÇÃO</v>
      </c>
    </row>
    <row r="124" spans="1:9" x14ac:dyDescent="0.25">
      <c r="A124" s="76" t="s">
        <v>185</v>
      </c>
      <c r="B124" s="84" t="str">
        <f>IFERROR(VLOOKUP(TRIM(A124),[1]Medições!$B$2:$I$48,8,FALSE),VLOOKUP(TRIM(A124),[1]PROBLEMAS!$B$2:$I$122,8,FALSE))</f>
        <v>JEHNIFFER PIRES</v>
      </c>
      <c r="C124" s="5" t="str">
        <f>VLOOKUP(TRIM(Tabela2[[#This Row],[SEI]]),Tabela3[[Processo SEI]:[Objeto]],5,FALSE)</f>
        <v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IV (SERRANA e CENTRO NORTE)</v>
      </c>
      <c r="D124" s="19" t="s">
        <v>188</v>
      </c>
      <c r="E124" s="14" t="s">
        <v>187</v>
      </c>
      <c r="F124" s="11" t="s">
        <v>186</v>
      </c>
      <c r="G124" s="26" t="s">
        <v>7</v>
      </c>
      <c r="H124" s="10" t="s">
        <v>189</v>
      </c>
      <c r="I124" s="41" t="str">
        <f>IFERROR(VLOOKUP(TRIM(Tabela2[[#This Row],[SEI]]),[1]Medições!$B$2:$H$48,7,FALSE),Tabela2[[#This Row],[STATUS_original]])</f>
        <v>ATA DE REGISTRO</v>
      </c>
    </row>
    <row r="125" spans="1:9" x14ac:dyDescent="0.25">
      <c r="A125" s="38" t="s">
        <v>275</v>
      </c>
      <c r="B125" s="8" t="str">
        <f>IFERROR(VLOOKUP(TRIM(A125),[1]Medições!$B$2:$I$48,8,FALSE),VLOOKUP(TRIM(A125),[1]PROBLEMAS!$B$2:$I$122,8,FALSE))</f>
        <v>JEHNIFFER PIRES</v>
      </c>
      <c r="C125" s="5" t="str">
        <f>VLOOKUP(TRIM(Tabela2[[#This Row],[SEI]]),Tabela3[[Processo SEI]:[Objeto]],5,FALSE)</f>
        <v>INTERVENÇÃO URBANÍSTICA E GEOTECNIA NA RUA MILTON MONNERAT</v>
      </c>
      <c r="D125" s="80" t="s">
        <v>277</v>
      </c>
      <c r="E125" s="8" t="s">
        <v>276</v>
      </c>
      <c r="F125" s="8" t="s">
        <v>112</v>
      </c>
      <c r="G125" s="39" t="s">
        <v>7</v>
      </c>
      <c r="H125" s="8" t="s">
        <v>280</v>
      </c>
      <c r="I125" s="41" t="str">
        <f>IFERROR(VLOOKUP(TRIM(Tabela2[[#This Row],[SEI]]),[1]Medições!$B$2:$H$48,7,FALSE),Tabela2[[#This Row],[STATUS_original]])</f>
        <v>EXECUÇÃO</v>
      </c>
    </row>
    <row r="126" spans="1:9" x14ac:dyDescent="0.25">
      <c r="A126" s="7" t="s">
        <v>14</v>
      </c>
      <c r="B126" s="1" t="str">
        <f>IFERROR(VLOOKUP(TRIM(A126),[1]Medições!$B$2:$I$48,8,FALSE),VLOOKUP(TRIM(A126),[1]PROBLEMAS!$B$2:$I$122,8,FALSE))</f>
        <v>LUIZ FILHO</v>
      </c>
      <c r="C126" s="5" t="str">
        <f>VLOOKUP(TRIM(Tabela2[[#This Row],[SEI]]),Tabela3[[Processo SEI]:[Objeto]],5,FALSE)</f>
        <v>DRENAGEM E PAVIMENTAÇÃO EM DIVERSAS RUAS EM SANTA AMÉLIA, JAPERI-RJ</v>
      </c>
      <c r="D126" s="1" t="s">
        <v>18</v>
      </c>
      <c r="E126" s="1" t="s">
        <v>17</v>
      </c>
      <c r="F126" s="1" t="s">
        <v>15</v>
      </c>
      <c r="G126" s="22" t="s">
        <v>16</v>
      </c>
      <c r="H126" s="21" t="s">
        <v>131</v>
      </c>
      <c r="I126" s="41" t="str">
        <f>IFERROR(VLOOKUP(TRIM(Tabela2[[#This Row],[SEI]]),[1]Medições!$B$2:$H$48,7,FALSE),Tabela2[[#This Row],[STATUS_original]])</f>
        <v>ACEITE PROVISORIO</v>
      </c>
    </row>
    <row r="127" spans="1:9" x14ac:dyDescent="0.25">
      <c r="A127" s="75" t="s">
        <v>209</v>
      </c>
      <c r="B127" s="5" t="str">
        <f>IFERROR(VLOOKUP(TRIM(A127),[1]Medições!$B$2:$I$48,8,FALSE),VLOOKUP(TRIM(A127),[1]PROBLEMAS!$B$2:$I$122,8,FALSE))</f>
        <v>LUIZ FILHO</v>
      </c>
      <c r="C127" s="5" t="str">
        <f>VLOOKUP(TRIM(Tabela2[[#This Row],[SEI]]),Tabela3[[Processo SEI]:[Objeto]],5,FALSE)</f>
        <v>DRENAGEM, PAVIMENTAÇÃO E SINALIZAÇÃO – MORADA DA BARRA, RESENDE-RJ</v>
      </c>
      <c r="D127" s="5" t="s">
        <v>205</v>
      </c>
      <c r="E127" s="5" t="s">
        <v>211</v>
      </c>
      <c r="F127" s="5" t="s">
        <v>210</v>
      </c>
      <c r="G127" s="36" t="s">
        <v>12</v>
      </c>
      <c r="H127" s="21" t="s">
        <v>259</v>
      </c>
      <c r="I127" s="41" t="str">
        <f>IFERROR(VLOOKUP(TRIM(Tabela2[[#This Row],[SEI]]),[1]Medições!$B$2:$H$48,7,FALSE),Tabela2[[#This Row],[STATUS_original]])</f>
        <v>CONCLUIDA</v>
      </c>
    </row>
    <row r="128" spans="1:9" x14ac:dyDescent="0.25">
      <c r="A128" s="75" t="s">
        <v>220</v>
      </c>
      <c r="B128" s="5" t="str">
        <f>IFERROR(VLOOKUP(TRIM(A128),[1]Medições!$B$2:$I$48,8,FALSE),VLOOKUP(TRIM(A128),[1]PROBLEMAS!$B$2:$I$122,8,FALSE))</f>
        <v>LUIZ FILHO</v>
      </c>
      <c r="C128" s="5" t="str">
        <f>VLOOKUP(TRIM(Tabela2[[#This Row],[SEI]]),Tabela3[[Processo SEI]:[Objeto]],5,FALSE)</f>
        <v>GALERIAS DE ÁGUAS PLUVIAIS E ESGOTO NOS BAIRROS RETA E BENTO ARGON – COMENDADOR LEVY GASPARIAN/RJ</v>
      </c>
      <c r="D128" s="5" t="s">
        <v>223</v>
      </c>
      <c r="E128" s="5" t="s">
        <v>222</v>
      </c>
      <c r="F128" s="5" t="s">
        <v>221</v>
      </c>
      <c r="G128" s="37" t="s">
        <v>12</v>
      </c>
      <c r="H128" s="21" t="s">
        <v>259</v>
      </c>
      <c r="I128" s="41" t="str">
        <f>IFERROR(VLOOKUP(TRIM(Tabela2[[#This Row],[SEI]]),[1]Medições!$B$2:$H$48,7,FALSE),Tabela2[[#This Row],[STATUS_original]])</f>
        <v>CONCLUIDA</v>
      </c>
    </row>
    <row r="129" spans="1:9" x14ac:dyDescent="0.25">
      <c r="A129" s="75" t="s">
        <v>240</v>
      </c>
      <c r="B129" s="5" t="str">
        <f>IFERROR(VLOOKUP(TRIM(A129),[1]Medições!$B$2:$I$48,8,FALSE),VLOOKUP(TRIM(A129),[1]PROBLEMAS!$B$2:$I$122,8,FALSE))</f>
        <v>LUIZ FILHO</v>
      </c>
      <c r="C129" s="5" t="str">
        <f>VLOOKUP(TRIM(Tabela2[[#This Row],[SEI]]),Tabela3[[Processo SEI]:[Objeto]],5,FALSE)</f>
        <v>REVESTIMENTO ASFÁLTICO, DRENAGEM E GALERIAS – BARRA DO PIRAÍ-RJ</v>
      </c>
      <c r="D129" s="5" t="s">
        <v>105</v>
      </c>
      <c r="E129" s="5" t="s">
        <v>242</v>
      </c>
      <c r="F129" s="5" t="s">
        <v>241</v>
      </c>
      <c r="G129" s="36" t="s">
        <v>21</v>
      </c>
      <c r="H129" s="21" t="s">
        <v>259</v>
      </c>
      <c r="I129" s="41" t="str">
        <f>IFERROR(VLOOKUP(TRIM(Tabela2[[#This Row],[SEI]]),[1]Medições!$B$2:$H$48,7,FALSE),Tabela2[[#This Row],[STATUS_original]])</f>
        <v>DISTRATO</v>
      </c>
    </row>
    <row r="130" spans="1:9" x14ac:dyDescent="0.25">
      <c r="A130" s="6" t="s">
        <v>281</v>
      </c>
      <c r="B130" s="9" t="str">
        <f>IFERROR(VLOOKUP(TRIM(A130),[1]Medições!$B$2:$I$48,8,FALSE),VLOOKUP(TRIM(A130),[1]PROBLEMAS!$B$2:$I$122,8,FALSE))</f>
        <v>MARCUS</v>
      </c>
      <c r="C130" s="82" t="str">
        <f>VLOOKUP(TRIM(Tabela2[[#This Row],[SEI]]),Tabela3[[Processo SEI]:[Objeto]],5,FALSE)</f>
        <v>CONSTRUÇÃO DE GALPÃO E READEQUAÇÃO DO HELIPONTO  COMANDANTE ANDRÉ TAVARES DE CAMPOS</v>
      </c>
      <c r="D130" s="9" t="s">
        <v>283</v>
      </c>
      <c r="E130" s="9" t="s">
        <v>108</v>
      </c>
      <c r="F130" s="9" t="s">
        <v>282</v>
      </c>
      <c r="G130" s="9" t="s">
        <v>71</v>
      </c>
      <c r="H130" s="9" t="s">
        <v>328</v>
      </c>
      <c r="I130" s="44" t="str">
        <f>IFERROR(VLOOKUP(TRIM(Tabela2[[#This Row],[SEI]]),[1]Medições!$B$2:$H$48,7,FALSE),Tabela2[[#This Row],[STATUS_original]])</f>
        <v>ACEITE DEFINITIVO</v>
      </c>
    </row>
    <row r="131" spans="1:9" x14ac:dyDescent="0.25">
      <c r="A131" s="81" t="s">
        <v>2040</v>
      </c>
      <c r="B131" s="88">
        <f>SUBTOTAL(103,Tabela2[GESTOR])</f>
        <v>129</v>
      </c>
      <c r="C131" s="9"/>
      <c r="D131" s="9"/>
      <c r="E131" s="9"/>
      <c r="F131" s="9"/>
      <c r="G131" s="9"/>
      <c r="H131" s="9"/>
      <c r="I131" s="44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2:B130 I2:I130" emptyCellReference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ADEC-34B2-4A74-BBA0-94544A39B78E}">
  <dimension ref="A1:L746"/>
  <sheetViews>
    <sheetView topLeftCell="A718" workbookViewId="0">
      <selection activeCell="C13" sqref="C13"/>
    </sheetView>
  </sheetViews>
  <sheetFormatPr defaultRowHeight="17.25" x14ac:dyDescent="0.25"/>
  <cols>
    <col min="1" max="1" width="26" style="48" bestFit="1" customWidth="1"/>
    <col min="2" max="2" width="31.140625" style="48" bestFit="1" customWidth="1"/>
    <col min="3" max="3" width="18" style="48" customWidth="1"/>
    <col min="4" max="4" width="33.5703125" style="48" bestFit="1" customWidth="1"/>
    <col min="5" max="5" width="255.7109375" style="48" bestFit="1" customWidth="1"/>
    <col min="6" max="6" width="180.28515625" style="48" bestFit="1" customWidth="1"/>
    <col min="7" max="7" width="23.7109375" style="48" customWidth="1"/>
    <col min="8" max="8" width="24.85546875" style="46" customWidth="1"/>
    <col min="9" max="9" width="20" style="47" bestFit="1" customWidth="1"/>
    <col min="10" max="10" width="27" style="46" customWidth="1"/>
    <col min="11" max="11" width="19.42578125" style="45" customWidth="1"/>
    <col min="12" max="12" width="14" style="45" customWidth="1"/>
  </cols>
  <sheetData>
    <row r="1" spans="1:12" s="49" customFormat="1" x14ac:dyDescent="0.3">
      <c r="A1" s="50" t="s">
        <v>2037</v>
      </c>
      <c r="B1" s="51" t="s">
        <v>2036</v>
      </c>
      <c r="C1" s="51" t="s">
        <v>2035</v>
      </c>
      <c r="D1" s="51" t="s">
        <v>2034</v>
      </c>
      <c r="E1" s="51" t="s">
        <v>2033</v>
      </c>
      <c r="F1" s="51" t="s">
        <v>2032</v>
      </c>
      <c r="G1" s="52" t="s">
        <v>2031</v>
      </c>
      <c r="H1" s="53" t="s">
        <v>2030</v>
      </c>
      <c r="I1" s="54" t="s">
        <v>2029</v>
      </c>
      <c r="J1" s="53" t="s">
        <v>2028</v>
      </c>
      <c r="K1" s="55" t="s">
        <v>2027</v>
      </c>
      <c r="L1" s="56" t="s">
        <v>2026</v>
      </c>
    </row>
    <row r="2" spans="1:12" x14ac:dyDescent="0.25">
      <c r="A2" s="57" t="s">
        <v>2025</v>
      </c>
      <c r="B2" s="58" t="s">
        <v>285</v>
      </c>
      <c r="C2" s="58"/>
      <c r="D2" s="58" t="s">
        <v>332</v>
      </c>
      <c r="E2" s="58" t="s">
        <v>2024</v>
      </c>
      <c r="F2" s="58" t="s">
        <v>337</v>
      </c>
      <c r="G2" s="58">
        <v>0</v>
      </c>
      <c r="H2" s="59">
        <v>0</v>
      </c>
      <c r="I2" s="60">
        <v>0</v>
      </c>
      <c r="J2" s="59">
        <v>0</v>
      </c>
      <c r="K2" s="61" t="s">
        <v>330</v>
      </c>
      <c r="L2" s="62" t="s">
        <v>330</v>
      </c>
    </row>
    <row r="3" spans="1:12" x14ac:dyDescent="0.25">
      <c r="A3" s="57" t="s">
        <v>284</v>
      </c>
      <c r="B3" s="58" t="s">
        <v>285</v>
      </c>
      <c r="C3" s="58" t="s">
        <v>2023</v>
      </c>
      <c r="D3" s="58" t="s">
        <v>355</v>
      </c>
      <c r="E3" s="58" t="s">
        <v>2022</v>
      </c>
      <c r="F3" s="58" t="s">
        <v>1056</v>
      </c>
      <c r="G3" s="58">
        <v>0.89159999999999995</v>
      </c>
      <c r="H3" s="59">
        <v>14782911.98</v>
      </c>
      <c r="I3" s="60">
        <v>13180256.4</v>
      </c>
      <c r="J3" s="59">
        <v>1602655.58</v>
      </c>
      <c r="K3" s="63">
        <v>44917</v>
      </c>
      <c r="L3" s="64">
        <v>45513</v>
      </c>
    </row>
    <row r="4" spans="1:12" x14ac:dyDescent="0.25">
      <c r="A4" s="57" t="s">
        <v>2021</v>
      </c>
      <c r="B4" s="58" t="s">
        <v>285</v>
      </c>
      <c r="C4" s="58" t="s">
        <v>2020</v>
      </c>
      <c r="D4" s="58" t="s">
        <v>426</v>
      </c>
      <c r="E4" s="58" t="s">
        <v>2019</v>
      </c>
      <c r="F4" s="58" t="s">
        <v>1194</v>
      </c>
      <c r="G4" s="58">
        <v>0</v>
      </c>
      <c r="H4" s="59">
        <v>10134014.66</v>
      </c>
      <c r="I4" s="60">
        <v>0</v>
      </c>
      <c r="J4" s="59">
        <v>10134014.66</v>
      </c>
      <c r="K4" s="63">
        <v>45365</v>
      </c>
      <c r="L4" s="64">
        <v>45476</v>
      </c>
    </row>
    <row r="5" spans="1:12" x14ac:dyDescent="0.25">
      <c r="A5" s="57" t="s">
        <v>2018</v>
      </c>
      <c r="B5" s="58" t="s">
        <v>285</v>
      </c>
      <c r="C5" s="58" t="s">
        <v>1519</v>
      </c>
      <c r="D5" s="58" t="s">
        <v>355</v>
      </c>
      <c r="E5" s="58" t="s">
        <v>2017</v>
      </c>
      <c r="F5" s="58" t="s">
        <v>2016</v>
      </c>
      <c r="G5" s="58">
        <v>0.6744</v>
      </c>
      <c r="H5" s="59">
        <v>37535912.649999999</v>
      </c>
      <c r="I5" s="60">
        <v>25313733.219999999</v>
      </c>
      <c r="J5" s="59">
        <v>12222179.43</v>
      </c>
      <c r="K5" s="63">
        <v>44807</v>
      </c>
      <c r="L5" s="64">
        <v>45208</v>
      </c>
    </row>
    <row r="6" spans="1:12" x14ac:dyDescent="0.25">
      <c r="A6" s="57" t="s">
        <v>2015</v>
      </c>
      <c r="B6" s="58" t="s">
        <v>285</v>
      </c>
      <c r="C6" s="58"/>
      <c r="D6" s="58" t="s">
        <v>332</v>
      </c>
      <c r="E6" s="58" t="s">
        <v>2014</v>
      </c>
      <c r="F6" s="58" t="s">
        <v>337</v>
      </c>
      <c r="G6" s="58">
        <v>0</v>
      </c>
      <c r="H6" s="59">
        <v>48244680.990000002</v>
      </c>
      <c r="I6" s="60">
        <v>0</v>
      </c>
      <c r="J6" s="59">
        <v>48244680.990000002</v>
      </c>
      <c r="K6" s="61" t="s">
        <v>330</v>
      </c>
      <c r="L6" s="62" t="s">
        <v>330</v>
      </c>
    </row>
    <row r="7" spans="1:12" x14ac:dyDescent="0.25">
      <c r="A7" s="57" t="s">
        <v>2013</v>
      </c>
      <c r="B7" s="58" t="s">
        <v>2008</v>
      </c>
      <c r="C7" s="58"/>
      <c r="D7" s="58" t="s">
        <v>332</v>
      </c>
      <c r="E7" s="58" t="s">
        <v>2012</v>
      </c>
      <c r="F7" s="58" t="s">
        <v>337</v>
      </c>
      <c r="G7" s="58">
        <v>0</v>
      </c>
      <c r="H7" s="59">
        <v>7000</v>
      </c>
      <c r="I7" s="60">
        <v>0</v>
      </c>
      <c r="J7" s="59">
        <v>7000</v>
      </c>
      <c r="K7" s="61" t="s">
        <v>330</v>
      </c>
      <c r="L7" s="62" t="s">
        <v>330</v>
      </c>
    </row>
    <row r="8" spans="1:12" x14ac:dyDescent="0.25">
      <c r="A8" s="57" t="s">
        <v>2011</v>
      </c>
      <c r="B8" s="58" t="s">
        <v>2008</v>
      </c>
      <c r="C8" s="58"/>
      <c r="D8" s="58" t="s">
        <v>332</v>
      </c>
      <c r="E8" s="58" t="s">
        <v>2010</v>
      </c>
      <c r="F8" s="58" t="s">
        <v>337</v>
      </c>
      <c r="G8" s="58">
        <v>0</v>
      </c>
      <c r="H8" s="59">
        <v>2344484.9300000002</v>
      </c>
      <c r="I8" s="60">
        <v>0</v>
      </c>
      <c r="J8" s="59">
        <v>2344484.9300000002</v>
      </c>
      <c r="K8" s="61" t="s">
        <v>330</v>
      </c>
      <c r="L8" s="62" t="s">
        <v>330</v>
      </c>
    </row>
    <row r="9" spans="1:12" x14ac:dyDescent="0.25">
      <c r="A9" s="57" t="s">
        <v>2009</v>
      </c>
      <c r="B9" s="58" t="s">
        <v>2008</v>
      </c>
      <c r="C9" s="58"/>
      <c r="D9" s="58" t="s">
        <v>339</v>
      </c>
      <c r="E9" s="58" t="s">
        <v>2007</v>
      </c>
      <c r="F9" s="58" t="s">
        <v>337</v>
      </c>
      <c r="G9" s="58">
        <v>0</v>
      </c>
      <c r="H9" s="59">
        <v>2570394.12</v>
      </c>
      <c r="I9" s="60">
        <v>0</v>
      </c>
      <c r="J9" s="59">
        <v>2570394.12</v>
      </c>
      <c r="K9" s="61" t="s">
        <v>330</v>
      </c>
      <c r="L9" s="62" t="s">
        <v>330</v>
      </c>
    </row>
    <row r="10" spans="1:12" x14ac:dyDescent="0.25">
      <c r="A10" s="57" t="s">
        <v>152</v>
      </c>
      <c r="B10" s="58" t="s">
        <v>154</v>
      </c>
      <c r="C10" s="58" t="s">
        <v>1785</v>
      </c>
      <c r="D10" s="58" t="s">
        <v>355</v>
      </c>
      <c r="E10" s="58" t="s">
        <v>2006</v>
      </c>
      <c r="F10" s="58" t="s">
        <v>1194</v>
      </c>
      <c r="G10" s="58">
        <v>1</v>
      </c>
      <c r="H10" s="59">
        <v>4928388.09</v>
      </c>
      <c r="I10" s="60">
        <v>4928388.26</v>
      </c>
      <c r="J10" s="59">
        <v>-0.16999999992549419</v>
      </c>
      <c r="K10" s="63">
        <v>45478</v>
      </c>
      <c r="L10" s="64">
        <v>45327</v>
      </c>
    </row>
    <row r="11" spans="1:12" x14ac:dyDescent="0.25">
      <c r="A11" s="57" t="s">
        <v>2005</v>
      </c>
      <c r="B11" s="58" t="s">
        <v>154</v>
      </c>
      <c r="C11" s="58"/>
      <c r="D11" s="58" t="s">
        <v>332</v>
      </c>
      <c r="E11" s="58" t="s">
        <v>2004</v>
      </c>
      <c r="F11" s="58" t="s">
        <v>337</v>
      </c>
      <c r="G11" s="58">
        <v>0</v>
      </c>
      <c r="H11" s="59">
        <v>0</v>
      </c>
      <c r="I11" s="60">
        <v>0</v>
      </c>
      <c r="J11" s="59">
        <v>0</v>
      </c>
      <c r="K11" s="61" t="s">
        <v>330</v>
      </c>
      <c r="L11" s="62" t="s">
        <v>330</v>
      </c>
    </row>
    <row r="12" spans="1:12" x14ac:dyDescent="0.25">
      <c r="A12" s="57" t="s">
        <v>2003</v>
      </c>
      <c r="B12" s="58" t="s">
        <v>154</v>
      </c>
      <c r="C12" s="58"/>
      <c r="D12" s="58" t="s">
        <v>332</v>
      </c>
      <c r="E12" s="58" t="s">
        <v>2002</v>
      </c>
      <c r="F12" s="58" t="s">
        <v>337</v>
      </c>
      <c r="G12" s="58">
        <v>0</v>
      </c>
      <c r="H12" s="59">
        <v>0</v>
      </c>
      <c r="I12" s="60">
        <v>0</v>
      </c>
      <c r="J12" s="59">
        <v>0</v>
      </c>
      <c r="K12" s="61" t="s">
        <v>330</v>
      </c>
      <c r="L12" s="62" t="s">
        <v>330</v>
      </c>
    </row>
    <row r="13" spans="1:12" x14ac:dyDescent="0.25">
      <c r="A13" s="57" t="s">
        <v>2001</v>
      </c>
      <c r="B13" s="58" t="s">
        <v>154</v>
      </c>
      <c r="C13" s="58"/>
      <c r="D13" s="58" t="s">
        <v>332</v>
      </c>
      <c r="E13" s="58" t="s">
        <v>2000</v>
      </c>
      <c r="F13" s="58" t="s">
        <v>337</v>
      </c>
      <c r="G13" s="58">
        <v>0</v>
      </c>
      <c r="H13" s="59">
        <v>0</v>
      </c>
      <c r="I13" s="60">
        <v>0</v>
      </c>
      <c r="J13" s="59">
        <v>0</v>
      </c>
      <c r="K13" s="61" t="s">
        <v>330</v>
      </c>
      <c r="L13" s="62" t="s">
        <v>330</v>
      </c>
    </row>
    <row r="14" spans="1:12" x14ac:dyDescent="0.25">
      <c r="A14" s="57" t="s">
        <v>1999</v>
      </c>
      <c r="B14" s="58" t="s">
        <v>154</v>
      </c>
      <c r="C14" s="58"/>
      <c r="D14" s="58" t="s">
        <v>332</v>
      </c>
      <c r="E14" s="58" t="s">
        <v>1998</v>
      </c>
      <c r="F14" s="58" t="s">
        <v>337</v>
      </c>
      <c r="G14" s="58">
        <v>0</v>
      </c>
      <c r="H14" s="59">
        <v>0</v>
      </c>
      <c r="I14" s="60">
        <v>0</v>
      </c>
      <c r="J14" s="59">
        <v>0</v>
      </c>
      <c r="K14" s="61" t="s">
        <v>330</v>
      </c>
      <c r="L14" s="62" t="s">
        <v>330</v>
      </c>
    </row>
    <row r="15" spans="1:12" x14ac:dyDescent="0.25">
      <c r="A15" s="57" t="s">
        <v>1997</v>
      </c>
      <c r="B15" s="58" t="s">
        <v>154</v>
      </c>
      <c r="C15" s="58"/>
      <c r="D15" s="58" t="s">
        <v>332</v>
      </c>
      <c r="E15" s="58" t="s">
        <v>1996</v>
      </c>
      <c r="F15" s="58" t="s">
        <v>337</v>
      </c>
      <c r="G15" s="58">
        <v>0</v>
      </c>
      <c r="H15" s="59">
        <v>1283313.1200000001</v>
      </c>
      <c r="I15" s="60">
        <v>0</v>
      </c>
      <c r="J15" s="59">
        <v>1283313.1200000001</v>
      </c>
      <c r="K15" s="61" t="s">
        <v>330</v>
      </c>
      <c r="L15" s="62" t="s">
        <v>330</v>
      </c>
    </row>
    <row r="16" spans="1:12" x14ac:dyDescent="0.25">
      <c r="A16" s="57" t="s">
        <v>1995</v>
      </c>
      <c r="B16" s="58" t="s">
        <v>154</v>
      </c>
      <c r="C16" s="58"/>
      <c r="D16" s="58" t="s">
        <v>332</v>
      </c>
      <c r="E16" s="58" t="s">
        <v>1994</v>
      </c>
      <c r="F16" s="58" t="s">
        <v>337</v>
      </c>
      <c r="G16" s="58">
        <v>0</v>
      </c>
      <c r="H16" s="59">
        <v>2730917.62</v>
      </c>
      <c r="I16" s="60">
        <v>0</v>
      </c>
      <c r="J16" s="59">
        <v>2730917.62</v>
      </c>
      <c r="K16" s="61" t="s">
        <v>330</v>
      </c>
      <c r="L16" s="62" t="s">
        <v>330</v>
      </c>
    </row>
    <row r="17" spans="1:12" x14ac:dyDescent="0.25">
      <c r="A17" s="57" t="s">
        <v>1993</v>
      </c>
      <c r="B17" s="58" t="s">
        <v>154</v>
      </c>
      <c r="C17" s="58"/>
      <c r="D17" s="58" t="s">
        <v>339</v>
      </c>
      <c r="E17" s="58" t="s">
        <v>1992</v>
      </c>
      <c r="F17" s="58" t="s">
        <v>337</v>
      </c>
      <c r="G17" s="58">
        <v>0</v>
      </c>
      <c r="H17" s="59">
        <v>25583968.649999999</v>
      </c>
      <c r="I17" s="60">
        <v>0</v>
      </c>
      <c r="J17" s="59">
        <v>25583968.649999999</v>
      </c>
      <c r="K17" s="61" t="s">
        <v>330</v>
      </c>
      <c r="L17" s="62" t="s">
        <v>330</v>
      </c>
    </row>
    <row r="18" spans="1:12" x14ac:dyDescent="0.25">
      <c r="A18" s="57" t="s">
        <v>1991</v>
      </c>
      <c r="B18" s="58" t="s">
        <v>154</v>
      </c>
      <c r="C18" s="58"/>
      <c r="D18" s="58" t="s">
        <v>339</v>
      </c>
      <c r="E18" s="58" t="s">
        <v>1990</v>
      </c>
      <c r="F18" s="58" t="s">
        <v>337</v>
      </c>
      <c r="G18" s="58">
        <v>0</v>
      </c>
      <c r="H18" s="59">
        <v>67886819.269999996</v>
      </c>
      <c r="I18" s="60">
        <v>0</v>
      </c>
      <c r="J18" s="59">
        <v>67886819.269999996</v>
      </c>
      <c r="K18" s="61" t="s">
        <v>330</v>
      </c>
      <c r="L18" s="62" t="s">
        <v>330</v>
      </c>
    </row>
    <row r="19" spans="1:12" x14ac:dyDescent="0.25">
      <c r="A19" s="57" t="s">
        <v>1989</v>
      </c>
      <c r="B19" s="58" t="s">
        <v>154</v>
      </c>
      <c r="C19" s="58"/>
      <c r="D19" s="58" t="s">
        <v>332</v>
      </c>
      <c r="E19" s="58" t="s">
        <v>1988</v>
      </c>
      <c r="F19" s="58" t="s">
        <v>337</v>
      </c>
      <c r="G19" s="58">
        <v>0</v>
      </c>
      <c r="H19" s="59">
        <v>71876187.079999998</v>
      </c>
      <c r="I19" s="60">
        <v>0</v>
      </c>
      <c r="J19" s="59">
        <v>71876187.079999998</v>
      </c>
      <c r="K19" s="61" t="s">
        <v>330</v>
      </c>
      <c r="L19" s="62" t="s">
        <v>330</v>
      </c>
    </row>
    <row r="20" spans="1:12" x14ac:dyDescent="0.25">
      <c r="A20" s="57" t="s">
        <v>1987</v>
      </c>
      <c r="B20" s="58" t="s">
        <v>1983</v>
      </c>
      <c r="C20" s="58" t="s">
        <v>1986</v>
      </c>
      <c r="D20" s="58" t="s">
        <v>396</v>
      </c>
      <c r="E20" s="58" t="s">
        <v>1985</v>
      </c>
      <c r="F20" s="58" t="s">
        <v>416</v>
      </c>
      <c r="G20" s="58">
        <v>0</v>
      </c>
      <c r="H20" s="59">
        <v>4473797.76</v>
      </c>
      <c r="I20" s="60">
        <v>0</v>
      </c>
      <c r="J20" s="59">
        <v>4473797.76</v>
      </c>
      <c r="K20" s="63">
        <v>44520</v>
      </c>
      <c r="L20" s="62" t="s">
        <v>330</v>
      </c>
    </row>
    <row r="21" spans="1:12" x14ac:dyDescent="0.25">
      <c r="A21" s="57" t="s">
        <v>1984</v>
      </c>
      <c r="B21" s="58" t="s">
        <v>1983</v>
      </c>
      <c r="C21" s="58"/>
      <c r="D21" s="58" t="s">
        <v>339</v>
      </c>
      <c r="E21" s="58" t="s">
        <v>1982</v>
      </c>
      <c r="F21" s="58" t="s">
        <v>337</v>
      </c>
      <c r="G21" s="58">
        <v>0</v>
      </c>
      <c r="H21" s="59">
        <v>5124881.82</v>
      </c>
      <c r="I21" s="60">
        <v>0</v>
      </c>
      <c r="J21" s="59">
        <v>5124881.82</v>
      </c>
      <c r="K21" s="61" t="s">
        <v>330</v>
      </c>
      <c r="L21" s="62" t="s">
        <v>330</v>
      </c>
    </row>
    <row r="22" spans="1:12" x14ac:dyDescent="0.25">
      <c r="A22" s="57" t="s">
        <v>1981</v>
      </c>
      <c r="B22" s="58" t="s">
        <v>1978</v>
      </c>
      <c r="C22" s="58"/>
      <c r="D22" s="58" t="s">
        <v>332</v>
      </c>
      <c r="E22" s="58" t="s">
        <v>1980</v>
      </c>
      <c r="F22" s="58" t="s">
        <v>337</v>
      </c>
      <c r="G22" s="58">
        <v>0</v>
      </c>
      <c r="H22" s="59">
        <v>11806978</v>
      </c>
      <c r="I22" s="60">
        <v>0</v>
      </c>
      <c r="J22" s="59">
        <v>11806978</v>
      </c>
      <c r="K22" s="61" t="s">
        <v>330</v>
      </c>
      <c r="L22" s="62" t="s">
        <v>330</v>
      </c>
    </row>
    <row r="23" spans="1:12" x14ac:dyDescent="0.25">
      <c r="A23" s="57" t="s">
        <v>1979</v>
      </c>
      <c r="B23" s="58" t="s">
        <v>1978</v>
      </c>
      <c r="C23" s="58"/>
      <c r="D23" s="58" t="s">
        <v>396</v>
      </c>
      <c r="E23" s="58" t="s">
        <v>1977</v>
      </c>
      <c r="F23" s="58" t="s">
        <v>711</v>
      </c>
      <c r="G23" s="58">
        <v>0</v>
      </c>
      <c r="H23" s="59">
        <v>27621068.440000001</v>
      </c>
      <c r="I23" s="60">
        <v>0</v>
      </c>
      <c r="J23" s="59">
        <v>27621068.440000001</v>
      </c>
      <c r="K23" s="61" t="s">
        <v>330</v>
      </c>
      <c r="L23" s="62" t="s">
        <v>330</v>
      </c>
    </row>
    <row r="24" spans="1:12" x14ac:dyDescent="0.25">
      <c r="A24" s="57" t="s">
        <v>1976</v>
      </c>
      <c r="B24" s="58" t="s">
        <v>242</v>
      </c>
      <c r="C24" s="58"/>
      <c r="D24" s="58" t="s">
        <v>332</v>
      </c>
      <c r="E24" s="58" t="s">
        <v>1975</v>
      </c>
      <c r="F24" s="58" t="s">
        <v>337</v>
      </c>
      <c r="G24" s="58">
        <v>0</v>
      </c>
      <c r="H24" s="59">
        <v>11230.35</v>
      </c>
      <c r="I24" s="60">
        <v>0</v>
      </c>
      <c r="J24" s="59">
        <v>11230.35</v>
      </c>
      <c r="K24" s="61" t="s">
        <v>330</v>
      </c>
      <c r="L24" s="62" t="s">
        <v>330</v>
      </c>
    </row>
    <row r="25" spans="1:12" x14ac:dyDescent="0.25">
      <c r="A25" s="57" t="s">
        <v>1974</v>
      </c>
      <c r="B25" s="58" t="s">
        <v>242</v>
      </c>
      <c r="C25" s="58"/>
      <c r="D25" s="58" t="s">
        <v>332</v>
      </c>
      <c r="E25" s="58" t="s">
        <v>1973</v>
      </c>
      <c r="F25" s="58" t="s">
        <v>337</v>
      </c>
      <c r="G25" s="58">
        <v>0</v>
      </c>
      <c r="H25" s="59">
        <v>556051.81000000006</v>
      </c>
      <c r="I25" s="60">
        <v>0</v>
      </c>
      <c r="J25" s="59">
        <v>556051.81000000006</v>
      </c>
      <c r="K25" s="61" t="s">
        <v>330</v>
      </c>
      <c r="L25" s="62" t="s">
        <v>330</v>
      </c>
    </row>
    <row r="26" spans="1:12" x14ac:dyDescent="0.25">
      <c r="A26" s="57" t="s">
        <v>1972</v>
      </c>
      <c r="B26" s="58" t="s">
        <v>242</v>
      </c>
      <c r="C26" s="58"/>
      <c r="D26" s="58" t="s">
        <v>332</v>
      </c>
      <c r="E26" s="58" t="s">
        <v>1971</v>
      </c>
      <c r="F26" s="58" t="s">
        <v>337</v>
      </c>
      <c r="G26" s="58">
        <v>0</v>
      </c>
      <c r="H26" s="59">
        <v>1028513.37</v>
      </c>
      <c r="I26" s="60">
        <v>0</v>
      </c>
      <c r="J26" s="59">
        <v>1028513.37</v>
      </c>
      <c r="K26" s="61" t="s">
        <v>330</v>
      </c>
      <c r="L26" s="62" t="s">
        <v>330</v>
      </c>
    </row>
    <row r="27" spans="1:12" x14ac:dyDescent="0.25">
      <c r="A27" s="57" t="s">
        <v>1970</v>
      </c>
      <c r="B27" s="58" t="s">
        <v>242</v>
      </c>
      <c r="C27" s="58"/>
      <c r="D27" s="58" t="s">
        <v>332</v>
      </c>
      <c r="E27" s="58" t="s">
        <v>1969</v>
      </c>
      <c r="F27" s="58" t="s">
        <v>337</v>
      </c>
      <c r="G27" s="58">
        <v>0</v>
      </c>
      <c r="H27" s="59">
        <v>1167726.23</v>
      </c>
      <c r="I27" s="60">
        <v>0</v>
      </c>
      <c r="J27" s="59">
        <v>1167726.23</v>
      </c>
      <c r="K27" s="61" t="s">
        <v>330</v>
      </c>
      <c r="L27" s="62" t="s">
        <v>330</v>
      </c>
    </row>
    <row r="28" spans="1:12" x14ac:dyDescent="0.25">
      <c r="A28" s="57" t="s">
        <v>1968</v>
      </c>
      <c r="B28" s="58" t="s">
        <v>242</v>
      </c>
      <c r="C28" s="58"/>
      <c r="D28" s="58" t="s">
        <v>332</v>
      </c>
      <c r="E28" s="58" t="s">
        <v>1967</v>
      </c>
      <c r="F28" s="58" t="s">
        <v>337</v>
      </c>
      <c r="G28" s="58">
        <v>0</v>
      </c>
      <c r="H28" s="59">
        <v>3722694.29</v>
      </c>
      <c r="I28" s="60">
        <v>0</v>
      </c>
      <c r="J28" s="59">
        <v>3722694.29</v>
      </c>
      <c r="K28" s="61" t="s">
        <v>330</v>
      </c>
      <c r="L28" s="62" t="s">
        <v>330</v>
      </c>
    </row>
    <row r="29" spans="1:12" x14ac:dyDescent="0.25">
      <c r="A29" s="57" t="s">
        <v>1966</v>
      </c>
      <c r="B29" s="58" t="s">
        <v>242</v>
      </c>
      <c r="C29" s="58"/>
      <c r="D29" s="58" t="s">
        <v>332</v>
      </c>
      <c r="E29" s="58" t="s">
        <v>1965</v>
      </c>
      <c r="F29" s="58" t="s">
        <v>337</v>
      </c>
      <c r="G29" s="58">
        <v>0</v>
      </c>
      <c r="H29" s="59">
        <v>4868256.2</v>
      </c>
      <c r="I29" s="60">
        <v>0</v>
      </c>
      <c r="J29" s="59">
        <v>4868256.2</v>
      </c>
      <c r="K29" s="61" t="s">
        <v>330</v>
      </c>
      <c r="L29" s="62" t="s">
        <v>330</v>
      </c>
    </row>
    <row r="30" spans="1:12" x14ac:dyDescent="0.25">
      <c r="A30" s="57" t="s">
        <v>1964</v>
      </c>
      <c r="B30" s="58" t="s">
        <v>242</v>
      </c>
      <c r="C30" s="58"/>
      <c r="D30" s="58" t="s">
        <v>332</v>
      </c>
      <c r="E30" s="58" t="s">
        <v>1963</v>
      </c>
      <c r="F30" s="58" t="s">
        <v>337</v>
      </c>
      <c r="G30" s="58">
        <v>0</v>
      </c>
      <c r="H30" s="59">
        <v>5578284.1900000004</v>
      </c>
      <c r="I30" s="60">
        <v>0</v>
      </c>
      <c r="J30" s="59">
        <v>5578284.1900000004</v>
      </c>
      <c r="K30" s="61" t="s">
        <v>330</v>
      </c>
      <c r="L30" s="62" t="s">
        <v>330</v>
      </c>
    </row>
    <row r="31" spans="1:12" x14ac:dyDescent="0.25">
      <c r="A31" s="57" t="s">
        <v>1962</v>
      </c>
      <c r="B31" s="58" t="s">
        <v>242</v>
      </c>
      <c r="C31" s="58"/>
      <c r="D31" s="58" t="s">
        <v>332</v>
      </c>
      <c r="E31" s="58" t="s">
        <v>1961</v>
      </c>
      <c r="F31" s="58" t="s">
        <v>337</v>
      </c>
      <c r="G31" s="58">
        <v>0</v>
      </c>
      <c r="H31" s="59">
        <v>5922938.9000000004</v>
      </c>
      <c r="I31" s="60">
        <v>0</v>
      </c>
      <c r="J31" s="59">
        <v>5922938.9000000004</v>
      </c>
      <c r="K31" s="61" t="s">
        <v>330</v>
      </c>
      <c r="L31" s="62" t="s">
        <v>330</v>
      </c>
    </row>
    <row r="32" spans="1:12" x14ac:dyDescent="0.25">
      <c r="A32" s="57" t="s">
        <v>1960</v>
      </c>
      <c r="B32" s="58" t="s">
        <v>242</v>
      </c>
      <c r="C32" s="58"/>
      <c r="D32" s="58" t="s">
        <v>332</v>
      </c>
      <c r="E32" s="58" t="s">
        <v>1959</v>
      </c>
      <c r="F32" s="58" t="s">
        <v>337</v>
      </c>
      <c r="G32" s="58">
        <v>0</v>
      </c>
      <c r="H32" s="59">
        <v>6373265.8099999996</v>
      </c>
      <c r="I32" s="60">
        <v>0</v>
      </c>
      <c r="J32" s="59">
        <v>6373265.8099999996</v>
      </c>
      <c r="K32" s="61" t="s">
        <v>330</v>
      </c>
      <c r="L32" s="62" t="s">
        <v>330</v>
      </c>
    </row>
    <row r="33" spans="1:12" x14ac:dyDescent="0.25">
      <c r="A33" s="57" t="s">
        <v>257</v>
      </c>
      <c r="B33" s="58" t="s">
        <v>242</v>
      </c>
      <c r="C33" s="58" t="s">
        <v>1958</v>
      </c>
      <c r="D33" s="58" t="s">
        <v>7</v>
      </c>
      <c r="E33" s="58" t="s">
        <v>1957</v>
      </c>
      <c r="F33" s="58" t="s">
        <v>56</v>
      </c>
      <c r="G33" s="58">
        <v>0.20039999999999999</v>
      </c>
      <c r="H33" s="59">
        <v>18990162.940000001</v>
      </c>
      <c r="I33" s="60">
        <v>3806174.66</v>
      </c>
      <c r="J33" s="59">
        <v>15183988.280000001</v>
      </c>
      <c r="K33" s="63">
        <v>45868</v>
      </c>
      <c r="L33" s="64">
        <v>46228</v>
      </c>
    </row>
    <row r="34" spans="1:12" x14ac:dyDescent="0.25">
      <c r="A34" s="57" t="s">
        <v>240</v>
      </c>
      <c r="B34" s="58" t="s">
        <v>242</v>
      </c>
      <c r="C34" s="58" t="s">
        <v>1956</v>
      </c>
      <c r="D34" s="58" t="s">
        <v>426</v>
      </c>
      <c r="E34" s="58" t="s">
        <v>1955</v>
      </c>
      <c r="F34" s="58" t="s">
        <v>353</v>
      </c>
      <c r="G34" s="58">
        <v>7.6E-3</v>
      </c>
      <c r="H34" s="59">
        <v>16774604.060000001</v>
      </c>
      <c r="I34" s="60">
        <v>127835.64</v>
      </c>
      <c r="J34" s="59">
        <v>16646768.42</v>
      </c>
      <c r="K34" s="63">
        <v>45100</v>
      </c>
      <c r="L34" s="64">
        <v>45460</v>
      </c>
    </row>
    <row r="35" spans="1:12" x14ac:dyDescent="0.25">
      <c r="A35" s="57" t="s">
        <v>232</v>
      </c>
      <c r="B35" s="58" t="s">
        <v>192</v>
      </c>
      <c r="C35" s="58" t="s">
        <v>1549</v>
      </c>
      <c r="D35" s="58" t="s">
        <v>7</v>
      </c>
      <c r="E35" s="58" t="s">
        <v>1954</v>
      </c>
      <c r="F35" s="58" t="s">
        <v>424</v>
      </c>
      <c r="G35" s="58">
        <v>1</v>
      </c>
      <c r="H35" s="59">
        <v>5581731.2999999998</v>
      </c>
      <c r="I35" s="60">
        <v>5581730.2999999998</v>
      </c>
      <c r="J35" s="59">
        <v>1</v>
      </c>
      <c r="K35" s="63">
        <v>44777</v>
      </c>
      <c r="L35" s="64">
        <v>45348</v>
      </c>
    </row>
    <row r="36" spans="1:12" x14ac:dyDescent="0.25">
      <c r="A36" s="57" t="s">
        <v>1953</v>
      </c>
      <c r="B36" s="58" t="s">
        <v>192</v>
      </c>
      <c r="C36" s="58"/>
      <c r="D36" s="58" t="s">
        <v>332</v>
      </c>
      <c r="E36" s="58" t="s">
        <v>1952</v>
      </c>
      <c r="F36" s="58" t="s">
        <v>337</v>
      </c>
      <c r="G36" s="58">
        <v>0</v>
      </c>
      <c r="H36" s="59">
        <v>1500</v>
      </c>
      <c r="I36" s="60">
        <v>0</v>
      </c>
      <c r="J36" s="59">
        <v>1500</v>
      </c>
      <c r="K36" s="61" t="s">
        <v>330</v>
      </c>
      <c r="L36" s="62" t="s">
        <v>330</v>
      </c>
    </row>
    <row r="37" spans="1:12" x14ac:dyDescent="0.25">
      <c r="A37" s="57" t="s">
        <v>1951</v>
      </c>
      <c r="B37" s="58" t="s">
        <v>192</v>
      </c>
      <c r="C37" s="58" t="s">
        <v>1950</v>
      </c>
      <c r="D37" s="58" t="s">
        <v>355</v>
      </c>
      <c r="E37" s="58" t="s">
        <v>1949</v>
      </c>
      <c r="F37" s="58" t="s">
        <v>1948</v>
      </c>
      <c r="G37" s="58">
        <v>0.99019999999999997</v>
      </c>
      <c r="H37" s="59">
        <v>5312585.57</v>
      </c>
      <c r="I37" s="60">
        <v>5260332.26</v>
      </c>
      <c r="J37" s="59">
        <v>52253.310000000522</v>
      </c>
      <c r="K37" s="63">
        <v>44536</v>
      </c>
      <c r="L37" s="64">
        <v>45289</v>
      </c>
    </row>
    <row r="38" spans="1:12" x14ac:dyDescent="0.25">
      <c r="A38" s="57" t="s">
        <v>253</v>
      </c>
      <c r="B38" s="58" t="s">
        <v>192</v>
      </c>
      <c r="C38" s="58" t="s">
        <v>1947</v>
      </c>
      <c r="D38" s="58" t="s">
        <v>7</v>
      </c>
      <c r="E38" s="58" t="s">
        <v>1946</v>
      </c>
      <c r="F38" s="58" t="s">
        <v>1945</v>
      </c>
      <c r="G38" s="58">
        <v>0.97129999999999994</v>
      </c>
      <c r="H38" s="59">
        <v>7795660.46</v>
      </c>
      <c r="I38" s="60">
        <v>7571952.29</v>
      </c>
      <c r="J38" s="59">
        <v>223708.16999999993</v>
      </c>
      <c r="K38" s="63">
        <v>44909</v>
      </c>
      <c r="L38" s="64">
        <v>46144</v>
      </c>
    </row>
    <row r="39" spans="1:12" x14ac:dyDescent="0.25">
      <c r="A39" s="57" t="s">
        <v>227</v>
      </c>
      <c r="B39" s="58" t="s">
        <v>192</v>
      </c>
      <c r="C39" s="58" t="s">
        <v>1944</v>
      </c>
      <c r="D39" s="58" t="s">
        <v>7</v>
      </c>
      <c r="E39" s="58" t="s">
        <v>1943</v>
      </c>
      <c r="F39" s="58" t="s">
        <v>387</v>
      </c>
      <c r="G39" s="58">
        <v>0.89159999999999995</v>
      </c>
      <c r="H39" s="59">
        <v>7234583.7699999996</v>
      </c>
      <c r="I39" s="60">
        <v>6450491.3099999996</v>
      </c>
      <c r="J39" s="59">
        <v>784092.46</v>
      </c>
      <c r="K39" s="63">
        <v>45425</v>
      </c>
      <c r="L39" s="64">
        <v>45999</v>
      </c>
    </row>
    <row r="40" spans="1:12" x14ac:dyDescent="0.25">
      <c r="A40" s="57" t="s">
        <v>1942</v>
      </c>
      <c r="B40" s="58" t="s">
        <v>192</v>
      </c>
      <c r="C40" s="58"/>
      <c r="D40" s="58" t="s">
        <v>332</v>
      </c>
      <c r="E40" s="58" t="s">
        <v>1941</v>
      </c>
      <c r="F40" s="58" t="s">
        <v>337</v>
      </c>
      <c r="G40" s="65" t="s">
        <v>330</v>
      </c>
      <c r="H40" s="59">
        <v>1439881.53</v>
      </c>
      <c r="I40" s="60">
        <v>0</v>
      </c>
      <c r="J40" s="59">
        <v>1439881.53</v>
      </c>
      <c r="K40" s="61" t="s">
        <v>330</v>
      </c>
      <c r="L40" s="62" t="s">
        <v>330</v>
      </c>
    </row>
    <row r="41" spans="1:12" x14ac:dyDescent="0.25">
      <c r="A41" s="57" t="s">
        <v>1940</v>
      </c>
      <c r="B41" s="58" t="s">
        <v>192</v>
      </c>
      <c r="C41" s="58"/>
      <c r="D41" s="58" t="s">
        <v>332</v>
      </c>
      <c r="E41" s="58" t="s">
        <v>1939</v>
      </c>
      <c r="F41" s="58" t="s">
        <v>337</v>
      </c>
      <c r="G41" s="65" t="s">
        <v>330</v>
      </c>
      <c r="H41" s="59">
        <v>2041166.01</v>
      </c>
      <c r="I41" s="60">
        <v>0</v>
      </c>
      <c r="J41" s="59">
        <v>2041166.01</v>
      </c>
      <c r="K41" s="61" t="s">
        <v>330</v>
      </c>
      <c r="L41" s="62" t="s">
        <v>330</v>
      </c>
    </row>
    <row r="42" spans="1:12" x14ac:dyDescent="0.25">
      <c r="A42" s="57" t="s">
        <v>197</v>
      </c>
      <c r="B42" s="58" t="s">
        <v>192</v>
      </c>
      <c r="C42" s="58" t="s">
        <v>1938</v>
      </c>
      <c r="D42" s="58" t="s">
        <v>7</v>
      </c>
      <c r="E42" s="58" t="s">
        <v>1937</v>
      </c>
      <c r="F42" s="58" t="s">
        <v>897</v>
      </c>
      <c r="G42" s="58">
        <v>0.8456999999999999</v>
      </c>
      <c r="H42" s="59">
        <v>36782151.810000002</v>
      </c>
      <c r="I42" s="60">
        <v>31106158.75</v>
      </c>
      <c r="J42" s="59">
        <v>5675993.0600000024</v>
      </c>
      <c r="K42" s="63">
        <v>45566</v>
      </c>
      <c r="L42" s="64">
        <v>46228</v>
      </c>
    </row>
    <row r="43" spans="1:12" x14ac:dyDescent="0.25">
      <c r="A43" s="57" t="s">
        <v>1936</v>
      </c>
      <c r="B43" s="58" t="s">
        <v>192</v>
      </c>
      <c r="C43" s="58"/>
      <c r="D43" s="58" t="s">
        <v>332</v>
      </c>
      <c r="E43" s="58" t="s">
        <v>1935</v>
      </c>
      <c r="F43" s="58" t="s">
        <v>337</v>
      </c>
      <c r="G43" s="58">
        <v>0</v>
      </c>
      <c r="H43" s="59">
        <v>7000000</v>
      </c>
      <c r="I43" s="60">
        <v>0</v>
      </c>
      <c r="J43" s="59">
        <v>7000000</v>
      </c>
      <c r="K43" s="61" t="s">
        <v>330</v>
      </c>
      <c r="L43" s="62" t="s">
        <v>330</v>
      </c>
    </row>
    <row r="44" spans="1:12" x14ac:dyDescent="0.25">
      <c r="A44" s="57" t="s">
        <v>1934</v>
      </c>
      <c r="B44" s="58" t="s">
        <v>192</v>
      </c>
      <c r="C44" s="58" t="s">
        <v>1413</v>
      </c>
      <c r="D44" s="58" t="s">
        <v>426</v>
      </c>
      <c r="E44" s="58" t="s">
        <v>1933</v>
      </c>
      <c r="F44" s="58" t="s">
        <v>1702</v>
      </c>
      <c r="G44" s="58">
        <v>0.40670000000000001</v>
      </c>
      <c r="H44" s="59">
        <v>11928823.02</v>
      </c>
      <c r="I44" s="60">
        <v>4852042.8</v>
      </c>
      <c r="J44" s="59">
        <v>7076780.2199999997</v>
      </c>
      <c r="K44" s="63">
        <v>44903</v>
      </c>
      <c r="L44" s="64">
        <v>45239</v>
      </c>
    </row>
    <row r="45" spans="1:12" x14ac:dyDescent="0.25">
      <c r="A45" s="57" t="s">
        <v>1932</v>
      </c>
      <c r="B45" s="58" t="s">
        <v>192</v>
      </c>
      <c r="C45" s="58"/>
      <c r="D45" s="58" t="s">
        <v>332</v>
      </c>
      <c r="E45" s="58" t="s">
        <v>1931</v>
      </c>
      <c r="F45" s="58" t="s">
        <v>337</v>
      </c>
      <c r="G45" s="58">
        <v>0</v>
      </c>
      <c r="H45" s="59">
        <v>7218644.3799999999</v>
      </c>
      <c r="I45" s="60">
        <v>0</v>
      </c>
      <c r="J45" s="59">
        <v>7218644.3799999999</v>
      </c>
      <c r="K45" s="61" t="s">
        <v>330</v>
      </c>
      <c r="L45" s="62" t="s">
        <v>330</v>
      </c>
    </row>
    <row r="46" spans="1:12" x14ac:dyDescent="0.25">
      <c r="A46" s="57" t="s">
        <v>190</v>
      </c>
      <c r="B46" s="58" t="s">
        <v>192</v>
      </c>
      <c r="C46" s="58" t="s">
        <v>1930</v>
      </c>
      <c r="D46" s="58" t="s">
        <v>7</v>
      </c>
      <c r="E46" s="58" t="s">
        <v>1929</v>
      </c>
      <c r="F46" s="58" t="s">
        <v>353</v>
      </c>
      <c r="G46" s="58">
        <v>0.5746</v>
      </c>
      <c r="H46" s="59">
        <v>22825141.32</v>
      </c>
      <c r="I46" s="60">
        <v>13115141.810000001</v>
      </c>
      <c r="J46" s="59">
        <v>9709999.5099999998</v>
      </c>
      <c r="K46" s="63">
        <v>45019</v>
      </c>
      <c r="L46" s="64">
        <v>46193</v>
      </c>
    </row>
    <row r="47" spans="1:12" x14ac:dyDescent="0.25">
      <c r="A47" s="57" t="s">
        <v>1928</v>
      </c>
      <c r="B47" s="58" t="s">
        <v>192</v>
      </c>
      <c r="C47" s="58"/>
      <c r="D47" s="58" t="s">
        <v>339</v>
      </c>
      <c r="E47" s="58" t="s">
        <v>1927</v>
      </c>
      <c r="F47" s="58" t="s">
        <v>337</v>
      </c>
      <c r="G47" s="58">
        <v>0</v>
      </c>
      <c r="H47" s="59">
        <v>40495439.32</v>
      </c>
      <c r="I47" s="60">
        <v>0</v>
      </c>
      <c r="J47" s="59">
        <v>40495439.32</v>
      </c>
      <c r="K47" s="61" t="s">
        <v>330</v>
      </c>
      <c r="L47" s="62" t="s">
        <v>330</v>
      </c>
    </row>
    <row r="48" spans="1:12" x14ac:dyDescent="0.25">
      <c r="A48" s="57" t="s">
        <v>1926</v>
      </c>
      <c r="B48" s="58" t="s">
        <v>192</v>
      </c>
      <c r="C48" s="58"/>
      <c r="D48" s="58" t="s">
        <v>332</v>
      </c>
      <c r="E48" s="58" t="s">
        <v>1925</v>
      </c>
      <c r="F48" s="58" t="s">
        <v>337</v>
      </c>
      <c r="G48" s="58">
        <v>0</v>
      </c>
      <c r="H48" s="59">
        <v>53112165.990000002</v>
      </c>
      <c r="I48" s="60">
        <v>0</v>
      </c>
      <c r="J48" s="59">
        <v>53112165.990000002</v>
      </c>
      <c r="K48" s="61" t="s">
        <v>330</v>
      </c>
      <c r="L48" s="62" t="s">
        <v>330</v>
      </c>
    </row>
    <row r="49" spans="1:12" x14ac:dyDescent="0.25">
      <c r="A49" s="57" t="s">
        <v>1924</v>
      </c>
      <c r="B49" s="58" t="s">
        <v>192</v>
      </c>
      <c r="C49" s="58"/>
      <c r="D49" s="58" t="s">
        <v>332</v>
      </c>
      <c r="E49" s="58" t="s">
        <v>1923</v>
      </c>
      <c r="F49" s="58" t="s">
        <v>337</v>
      </c>
      <c r="G49" s="58">
        <v>0</v>
      </c>
      <c r="H49" s="59">
        <v>73545012.239999995</v>
      </c>
      <c r="I49" s="60">
        <v>0</v>
      </c>
      <c r="J49" s="59">
        <v>73545012.239999995</v>
      </c>
      <c r="K49" s="61" t="s">
        <v>330</v>
      </c>
      <c r="L49" s="62" t="s">
        <v>330</v>
      </c>
    </row>
    <row r="50" spans="1:12" x14ac:dyDescent="0.25">
      <c r="A50" s="57" t="s">
        <v>106</v>
      </c>
      <c r="B50" s="58" t="s">
        <v>99</v>
      </c>
      <c r="C50" s="58" t="s">
        <v>1922</v>
      </c>
      <c r="D50" s="58" t="s">
        <v>355</v>
      </c>
      <c r="E50" s="58" t="s">
        <v>1921</v>
      </c>
      <c r="F50" s="58" t="s">
        <v>1269</v>
      </c>
      <c r="G50" s="58">
        <v>0.99900000000000011</v>
      </c>
      <c r="H50" s="59">
        <v>7155724.3899999997</v>
      </c>
      <c r="I50" s="60">
        <v>7148655.5999999996</v>
      </c>
      <c r="J50" s="59">
        <v>7068.7900000000373</v>
      </c>
      <c r="K50" s="63">
        <v>45314</v>
      </c>
      <c r="L50" s="64">
        <v>45617</v>
      </c>
    </row>
    <row r="51" spans="1:12" x14ac:dyDescent="0.25">
      <c r="A51" s="57" t="s">
        <v>98</v>
      </c>
      <c r="B51" s="58" t="s">
        <v>99</v>
      </c>
      <c r="C51" s="58" t="s">
        <v>1920</v>
      </c>
      <c r="D51" s="58" t="s">
        <v>7</v>
      </c>
      <c r="E51" s="58" t="s">
        <v>1919</v>
      </c>
      <c r="F51" s="58" t="s">
        <v>1269</v>
      </c>
      <c r="G51" s="58">
        <v>0.88560000000000005</v>
      </c>
      <c r="H51" s="59">
        <v>6765672.29</v>
      </c>
      <c r="I51" s="60">
        <v>5991696.5800000001</v>
      </c>
      <c r="J51" s="59">
        <v>773975.71</v>
      </c>
      <c r="K51" s="63">
        <v>45398</v>
      </c>
      <c r="L51" s="64">
        <v>46062</v>
      </c>
    </row>
    <row r="52" spans="1:12" x14ac:dyDescent="0.25">
      <c r="A52" s="57" t="s">
        <v>1918</v>
      </c>
      <c r="B52" s="58" t="s">
        <v>99</v>
      </c>
      <c r="C52" s="58"/>
      <c r="D52" s="58" t="s">
        <v>440</v>
      </c>
      <c r="E52" s="58" t="s">
        <v>1917</v>
      </c>
      <c r="F52" s="58" t="s">
        <v>337</v>
      </c>
      <c r="G52" s="58">
        <v>0</v>
      </c>
      <c r="H52" s="59">
        <v>2461488.2999999998</v>
      </c>
      <c r="I52" s="60">
        <v>0</v>
      </c>
      <c r="J52" s="59">
        <v>2461488.2999999998</v>
      </c>
      <c r="K52" s="61" t="s">
        <v>330</v>
      </c>
      <c r="L52" s="62" t="s">
        <v>330</v>
      </c>
    </row>
    <row r="53" spans="1:12" x14ac:dyDescent="0.25">
      <c r="A53" s="57" t="s">
        <v>1916</v>
      </c>
      <c r="B53" s="58" t="s">
        <v>99</v>
      </c>
      <c r="C53" s="58"/>
      <c r="D53" s="58" t="s">
        <v>339</v>
      </c>
      <c r="E53" s="58" t="s">
        <v>1915</v>
      </c>
      <c r="F53" s="58" t="s">
        <v>337</v>
      </c>
      <c r="G53" s="58">
        <v>0</v>
      </c>
      <c r="H53" s="59">
        <v>2861863.04</v>
      </c>
      <c r="I53" s="60">
        <v>0</v>
      </c>
      <c r="J53" s="59">
        <v>2861863.04</v>
      </c>
      <c r="K53" s="61" t="s">
        <v>330</v>
      </c>
      <c r="L53" s="62" t="s">
        <v>330</v>
      </c>
    </row>
    <row r="54" spans="1:12" x14ac:dyDescent="0.25">
      <c r="A54" s="57" t="s">
        <v>1914</v>
      </c>
      <c r="B54" s="58" t="s">
        <v>99</v>
      </c>
      <c r="C54" s="58"/>
      <c r="D54" s="58" t="s">
        <v>332</v>
      </c>
      <c r="E54" s="58" t="s">
        <v>1913</v>
      </c>
      <c r="F54" s="58" t="s">
        <v>337</v>
      </c>
      <c r="G54" s="58">
        <v>0</v>
      </c>
      <c r="H54" s="59">
        <v>5034459.62</v>
      </c>
      <c r="I54" s="60">
        <v>0</v>
      </c>
      <c r="J54" s="59">
        <v>5034459.62</v>
      </c>
      <c r="K54" s="61" t="s">
        <v>330</v>
      </c>
      <c r="L54" s="62" t="s">
        <v>330</v>
      </c>
    </row>
    <row r="55" spans="1:12" x14ac:dyDescent="0.25">
      <c r="A55" s="57" t="s">
        <v>1912</v>
      </c>
      <c r="B55" s="58" t="s">
        <v>99</v>
      </c>
      <c r="C55" s="58"/>
      <c r="D55" s="58" t="s">
        <v>332</v>
      </c>
      <c r="E55" s="58" t="s">
        <v>1911</v>
      </c>
      <c r="F55" s="58" t="s">
        <v>337</v>
      </c>
      <c r="G55" s="58">
        <v>0</v>
      </c>
      <c r="H55" s="59">
        <v>5220803.8099999996</v>
      </c>
      <c r="I55" s="60">
        <v>0</v>
      </c>
      <c r="J55" s="59">
        <v>5220803.8099999996</v>
      </c>
      <c r="K55" s="61" t="s">
        <v>330</v>
      </c>
      <c r="L55" s="62" t="s">
        <v>330</v>
      </c>
    </row>
    <row r="56" spans="1:12" x14ac:dyDescent="0.25">
      <c r="A56" s="57" t="s">
        <v>1910</v>
      </c>
      <c r="B56" s="58" t="s">
        <v>99</v>
      </c>
      <c r="C56" s="58"/>
      <c r="D56" s="58" t="s">
        <v>339</v>
      </c>
      <c r="E56" s="58" t="s">
        <v>1909</v>
      </c>
      <c r="F56" s="58" t="s">
        <v>337</v>
      </c>
      <c r="G56" s="58">
        <v>0</v>
      </c>
      <c r="H56" s="59">
        <v>16294232.75</v>
      </c>
      <c r="I56" s="60">
        <v>0</v>
      </c>
      <c r="J56" s="59">
        <v>16294232.75</v>
      </c>
      <c r="K56" s="61" t="s">
        <v>330</v>
      </c>
      <c r="L56" s="62" t="s">
        <v>330</v>
      </c>
    </row>
    <row r="57" spans="1:12" x14ac:dyDescent="0.25">
      <c r="A57" s="57" t="s">
        <v>1908</v>
      </c>
      <c r="B57" s="58" t="s">
        <v>99</v>
      </c>
      <c r="C57" s="58"/>
      <c r="D57" s="58" t="s">
        <v>332</v>
      </c>
      <c r="E57" s="58" t="s">
        <v>1907</v>
      </c>
      <c r="F57" s="58" t="s">
        <v>337</v>
      </c>
      <c r="G57" s="58">
        <v>0</v>
      </c>
      <c r="H57" s="59">
        <v>148276510.84</v>
      </c>
      <c r="I57" s="60">
        <v>0</v>
      </c>
      <c r="J57" s="59">
        <v>148276510.84</v>
      </c>
      <c r="K57" s="61" t="s">
        <v>330</v>
      </c>
      <c r="L57" s="62" t="s">
        <v>330</v>
      </c>
    </row>
    <row r="58" spans="1:12" x14ac:dyDescent="0.25">
      <c r="A58" s="57" t="s">
        <v>1906</v>
      </c>
      <c r="B58" s="58" t="s">
        <v>276</v>
      </c>
      <c r="C58" s="58"/>
      <c r="D58" s="58" t="s">
        <v>332</v>
      </c>
      <c r="E58" s="58" t="s">
        <v>1905</v>
      </c>
      <c r="F58" s="58" t="s">
        <v>337</v>
      </c>
      <c r="G58" s="58">
        <v>0</v>
      </c>
      <c r="H58" s="59">
        <v>759410.41</v>
      </c>
      <c r="I58" s="60">
        <v>0</v>
      </c>
      <c r="J58" s="59">
        <v>759410.41</v>
      </c>
      <c r="K58" s="61" t="s">
        <v>330</v>
      </c>
      <c r="L58" s="62" t="s">
        <v>330</v>
      </c>
    </row>
    <row r="59" spans="1:12" x14ac:dyDescent="0.25">
      <c r="A59" s="57" t="s">
        <v>1904</v>
      </c>
      <c r="B59" s="58" t="s">
        <v>276</v>
      </c>
      <c r="C59" s="58"/>
      <c r="D59" s="58" t="s">
        <v>332</v>
      </c>
      <c r="E59" s="58" t="s">
        <v>1903</v>
      </c>
      <c r="F59" s="58" t="s">
        <v>337</v>
      </c>
      <c r="G59" s="58">
        <v>0</v>
      </c>
      <c r="H59" s="59">
        <v>881299.43</v>
      </c>
      <c r="I59" s="60">
        <v>0</v>
      </c>
      <c r="J59" s="59">
        <v>881299.43</v>
      </c>
      <c r="K59" s="61" t="s">
        <v>330</v>
      </c>
      <c r="L59" s="62" t="s">
        <v>330</v>
      </c>
    </row>
    <row r="60" spans="1:12" x14ac:dyDescent="0.25">
      <c r="A60" s="57" t="s">
        <v>275</v>
      </c>
      <c r="B60" s="58" t="s">
        <v>276</v>
      </c>
      <c r="C60" s="58" t="s">
        <v>1902</v>
      </c>
      <c r="D60" s="58" t="s">
        <v>7</v>
      </c>
      <c r="E60" s="58" t="s">
        <v>1901</v>
      </c>
      <c r="F60" s="58" t="s">
        <v>1188</v>
      </c>
      <c r="G60" s="58">
        <v>0</v>
      </c>
      <c r="H60" s="59">
        <v>2742607.66</v>
      </c>
      <c r="I60" s="60">
        <v>0</v>
      </c>
      <c r="J60" s="59">
        <v>2742607.66</v>
      </c>
      <c r="K60" s="63">
        <v>45917</v>
      </c>
      <c r="L60" s="64">
        <v>46097</v>
      </c>
    </row>
    <row r="61" spans="1:12" x14ac:dyDescent="0.25">
      <c r="A61" s="57" t="s">
        <v>1900</v>
      </c>
      <c r="B61" s="58" t="s">
        <v>276</v>
      </c>
      <c r="C61" s="58"/>
      <c r="D61" s="58" t="s">
        <v>396</v>
      </c>
      <c r="E61" s="58" t="s">
        <v>1899</v>
      </c>
      <c r="F61" s="58" t="s">
        <v>337</v>
      </c>
      <c r="G61" s="58">
        <v>0</v>
      </c>
      <c r="H61" s="59">
        <v>6826938.6399999997</v>
      </c>
      <c r="I61" s="60">
        <v>0</v>
      </c>
      <c r="J61" s="59">
        <v>6826938.6399999997</v>
      </c>
      <c r="K61" s="61" t="s">
        <v>330</v>
      </c>
      <c r="L61" s="62" t="s">
        <v>330</v>
      </c>
    </row>
    <row r="62" spans="1:12" x14ac:dyDescent="0.25">
      <c r="A62" s="57" t="s">
        <v>1898</v>
      </c>
      <c r="B62" s="58" t="s">
        <v>1869</v>
      </c>
      <c r="C62" s="58"/>
      <c r="D62" s="58" t="s">
        <v>332</v>
      </c>
      <c r="E62" s="58" t="s">
        <v>1897</v>
      </c>
      <c r="F62" s="58" t="s">
        <v>337</v>
      </c>
      <c r="G62" s="58">
        <v>0</v>
      </c>
      <c r="H62" s="59">
        <v>0</v>
      </c>
      <c r="I62" s="60">
        <v>0</v>
      </c>
      <c r="J62" s="59">
        <v>0</v>
      </c>
      <c r="K62" s="61" t="s">
        <v>330</v>
      </c>
      <c r="L62" s="62" t="s">
        <v>330</v>
      </c>
    </row>
    <row r="63" spans="1:12" x14ac:dyDescent="0.25">
      <c r="A63" s="57" t="s">
        <v>1896</v>
      </c>
      <c r="B63" s="58" t="s">
        <v>1869</v>
      </c>
      <c r="C63" s="58"/>
      <c r="D63" s="58" t="s">
        <v>332</v>
      </c>
      <c r="E63" s="58" t="s">
        <v>1895</v>
      </c>
      <c r="F63" s="58" t="s">
        <v>337</v>
      </c>
      <c r="G63" s="58">
        <v>0</v>
      </c>
      <c r="H63" s="59">
        <v>0</v>
      </c>
      <c r="I63" s="60">
        <v>0</v>
      </c>
      <c r="J63" s="59">
        <v>0</v>
      </c>
      <c r="K63" s="61" t="s">
        <v>330</v>
      </c>
      <c r="L63" s="62" t="s">
        <v>330</v>
      </c>
    </row>
    <row r="64" spans="1:12" x14ac:dyDescent="0.25">
      <c r="A64" s="57" t="s">
        <v>1894</v>
      </c>
      <c r="B64" s="58" t="s">
        <v>1869</v>
      </c>
      <c r="C64" s="58"/>
      <c r="D64" s="58" t="s">
        <v>332</v>
      </c>
      <c r="E64" s="58" t="s">
        <v>1893</v>
      </c>
      <c r="F64" s="58" t="s">
        <v>337</v>
      </c>
      <c r="G64" s="58">
        <v>0</v>
      </c>
      <c r="H64" s="59">
        <v>0</v>
      </c>
      <c r="I64" s="60">
        <v>0</v>
      </c>
      <c r="J64" s="59">
        <v>0</v>
      </c>
      <c r="K64" s="61" t="s">
        <v>330</v>
      </c>
      <c r="L64" s="62" t="s">
        <v>330</v>
      </c>
    </row>
    <row r="65" spans="1:12" x14ac:dyDescent="0.25">
      <c r="A65" s="57" t="s">
        <v>1892</v>
      </c>
      <c r="B65" s="58" t="s">
        <v>1869</v>
      </c>
      <c r="C65" s="58"/>
      <c r="D65" s="58" t="s">
        <v>332</v>
      </c>
      <c r="E65" s="58" t="s">
        <v>1891</v>
      </c>
      <c r="F65" s="58" t="s">
        <v>337</v>
      </c>
      <c r="G65" s="58">
        <v>0</v>
      </c>
      <c r="H65" s="59">
        <v>0</v>
      </c>
      <c r="I65" s="60">
        <v>0</v>
      </c>
      <c r="J65" s="59">
        <v>0</v>
      </c>
      <c r="K65" s="61" t="s">
        <v>330</v>
      </c>
      <c r="L65" s="62" t="s">
        <v>330</v>
      </c>
    </row>
    <row r="66" spans="1:12" x14ac:dyDescent="0.25">
      <c r="A66" s="57" t="s">
        <v>1890</v>
      </c>
      <c r="B66" s="58" t="s">
        <v>1869</v>
      </c>
      <c r="C66" s="58"/>
      <c r="D66" s="58" t="s">
        <v>332</v>
      </c>
      <c r="E66" s="58" t="s">
        <v>1889</v>
      </c>
      <c r="F66" s="58" t="s">
        <v>337</v>
      </c>
      <c r="G66" s="58">
        <v>0</v>
      </c>
      <c r="H66" s="59">
        <v>0</v>
      </c>
      <c r="I66" s="60">
        <v>0</v>
      </c>
      <c r="J66" s="59">
        <v>0</v>
      </c>
      <c r="K66" s="61" t="s">
        <v>330</v>
      </c>
      <c r="L66" s="62" t="s">
        <v>330</v>
      </c>
    </row>
    <row r="67" spans="1:12" x14ac:dyDescent="0.25">
      <c r="A67" s="57" t="s">
        <v>1888</v>
      </c>
      <c r="B67" s="58" t="s">
        <v>1869</v>
      </c>
      <c r="C67" s="58"/>
      <c r="D67" s="58" t="s">
        <v>332</v>
      </c>
      <c r="E67" s="58" t="s">
        <v>1887</v>
      </c>
      <c r="F67" s="58" t="s">
        <v>337</v>
      </c>
      <c r="G67" s="58">
        <v>0</v>
      </c>
      <c r="H67" s="59">
        <v>0</v>
      </c>
      <c r="I67" s="60">
        <v>0</v>
      </c>
      <c r="J67" s="59">
        <v>0</v>
      </c>
      <c r="K67" s="61" t="s">
        <v>330</v>
      </c>
      <c r="L67" s="62" t="s">
        <v>330</v>
      </c>
    </row>
    <row r="68" spans="1:12" x14ac:dyDescent="0.25">
      <c r="A68" s="57" t="s">
        <v>1886</v>
      </c>
      <c r="B68" s="58" t="s">
        <v>1869</v>
      </c>
      <c r="C68" s="58"/>
      <c r="D68" s="58" t="s">
        <v>332</v>
      </c>
      <c r="E68" s="58" t="s">
        <v>1885</v>
      </c>
      <c r="F68" s="58" t="s">
        <v>337</v>
      </c>
      <c r="G68" s="58">
        <v>0</v>
      </c>
      <c r="H68" s="59">
        <v>0</v>
      </c>
      <c r="I68" s="60">
        <v>0</v>
      </c>
      <c r="J68" s="59">
        <v>0</v>
      </c>
      <c r="K68" s="61" t="s">
        <v>330</v>
      </c>
      <c r="L68" s="62" t="s">
        <v>330</v>
      </c>
    </row>
    <row r="69" spans="1:12" x14ac:dyDescent="0.25">
      <c r="A69" s="57" t="s">
        <v>1884</v>
      </c>
      <c r="B69" s="58" t="s">
        <v>1869</v>
      </c>
      <c r="C69" s="58"/>
      <c r="D69" s="58" t="s">
        <v>332</v>
      </c>
      <c r="E69" s="58" t="s">
        <v>1883</v>
      </c>
      <c r="F69" s="58" t="s">
        <v>337</v>
      </c>
      <c r="G69" s="58">
        <v>0</v>
      </c>
      <c r="H69" s="59">
        <v>0</v>
      </c>
      <c r="I69" s="60">
        <v>0</v>
      </c>
      <c r="J69" s="59">
        <v>0</v>
      </c>
      <c r="K69" s="61" t="s">
        <v>330</v>
      </c>
      <c r="L69" s="62" t="s">
        <v>330</v>
      </c>
    </row>
    <row r="70" spans="1:12" x14ac:dyDescent="0.25">
      <c r="A70" s="57" t="s">
        <v>1882</v>
      </c>
      <c r="B70" s="58" t="s">
        <v>1869</v>
      </c>
      <c r="C70" s="58"/>
      <c r="D70" s="58" t="s">
        <v>332</v>
      </c>
      <c r="E70" s="58" t="s">
        <v>1881</v>
      </c>
      <c r="F70" s="58" t="s">
        <v>337</v>
      </c>
      <c r="G70" s="58">
        <v>0</v>
      </c>
      <c r="H70" s="59">
        <v>0</v>
      </c>
      <c r="I70" s="60">
        <v>0</v>
      </c>
      <c r="J70" s="59">
        <v>0</v>
      </c>
      <c r="K70" s="61" t="s">
        <v>330</v>
      </c>
      <c r="L70" s="62" t="s">
        <v>330</v>
      </c>
    </row>
    <row r="71" spans="1:12" x14ac:dyDescent="0.25">
      <c r="A71" s="57" t="s">
        <v>1880</v>
      </c>
      <c r="B71" s="58" t="s">
        <v>1869</v>
      </c>
      <c r="C71" s="58"/>
      <c r="D71" s="58" t="s">
        <v>332</v>
      </c>
      <c r="E71" s="58" t="s">
        <v>1879</v>
      </c>
      <c r="F71" s="58" t="s">
        <v>337</v>
      </c>
      <c r="G71" s="58">
        <v>0</v>
      </c>
      <c r="H71" s="59">
        <v>0</v>
      </c>
      <c r="I71" s="60">
        <v>0</v>
      </c>
      <c r="J71" s="59">
        <v>0</v>
      </c>
      <c r="K71" s="61" t="s">
        <v>330</v>
      </c>
      <c r="L71" s="62" t="s">
        <v>330</v>
      </c>
    </row>
    <row r="72" spans="1:12" x14ac:dyDescent="0.25">
      <c r="A72" s="57" t="s">
        <v>1878</v>
      </c>
      <c r="B72" s="58" t="s">
        <v>1869</v>
      </c>
      <c r="C72" s="58"/>
      <c r="D72" s="58" t="s">
        <v>332</v>
      </c>
      <c r="E72" s="58" t="s">
        <v>1877</v>
      </c>
      <c r="F72" s="58" t="s">
        <v>337</v>
      </c>
      <c r="G72" s="58">
        <v>0</v>
      </c>
      <c r="H72" s="59">
        <v>0</v>
      </c>
      <c r="I72" s="60">
        <v>0</v>
      </c>
      <c r="J72" s="59">
        <v>0</v>
      </c>
      <c r="K72" s="61" t="s">
        <v>330</v>
      </c>
      <c r="L72" s="62" t="s">
        <v>330</v>
      </c>
    </row>
    <row r="73" spans="1:12" x14ac:dyDescent="0.25">
      <c r="A73" s="57" t="s">
        <v>1876</v>
      </c>
      <c r="B73" s="58" t="s">
        <v>1869</v>
      </c>
      <c r="C73" s="58"/>
      <c r="D73" s="58" t="s">
        <v>332</v>
      </c>
      <c r="E73" s="58" t="s">
        <v>1875</v>
      </c>
      <c r="F73" s="58" t="s">
        <v>337</v>
      </c>
      <c r="G73" s="58">
        <v>0</v>
      </c>
      <c r="H73" s="59">
        <v>0</v>
      </c>
      <c r="I73" s="60">
        <v>0</v>
      </c>
      <c r="J73" s="59">
        <v>0</v>
      </c>
      <c r="K73" s="61" t="s">
        <v>330</v>
      </c>
      <c r="L73" s="62" t="s">
        <v>330</v>
      </c>
    </row>
    <row r="74" spans="1:12" x14ac:dyDescent="0.25">
      <c r="A74" s="57" t="s">
        <v>1874</v>
      </c>
      <c r="B74" s="58" t="s">
        <v>1869</v>
      </c>
      <c r="C74" s="58"/>
      <c r="D74" s="58" t="s">
        <v>332</v>
      </c>
      <c r="E74" s="58" t="s">
        <v>1873</v>
      </c>
      <c r="F74" s="58" t="s">
        <v>337</v>
      </c>
      <c r="G74" s="58">
        <v>0</v>
      </c>
      <c r="H74" s="59">
        <v>0</v>
      </c>
      <c r="I74" s="60">
        <v>0</v>
      </c>
      <c r="J74" s="59">
        <v>0</v>
      </c>
      <c r="K74" s="61" t="s">
        <v>330</v>
      </c>
      <c r="L74" s="62" t="s">
        <v>330</v>
      </c>
    </row>
    <row r="75" spans="1:12" x14ac:dyDescent="0.25">
      <c r="A75" s="57" t="s">
        <v>1872</v>
      </c>
      <c r="B75" s="58" t="s">
        <v>1869</v>
      </c>
      <c r="C75" s="58"/>
      <c r="D75" s="58" t="s">
        <v>332</v>
      </c>
      <c r="E75" s="58" t="s">
        <v>1871</v>
      </c>
      <c r="F75" s="58" t="s">
        <v>337</v>
      </c>
      <c r="G75" s="58">
        <v>0</v>
      </c>
      <c r="H75" s="59">
        <v>0</v>
      </c>
      <c r="I75" s="60">
        <v>0</v>
      </c>
      <c r="J75" s="59">
        <v>0</v>
      </c>
      <c r="K75" s="61" t="s">
        <v>330</v>
      </c>
      <c r="L75" s="62" t="s">
        <v>330</v>
      </c>
    </row>
    <row r="76" spans="1:12" x14ac:dyDescent="0.25">
      <c r="A76" s="57" t="s">
        <v>1870</v>
      </c>
      <c r="B76" s="58" t="s">
        <v>1869</v>
      </c>
      <c r="C76" s="58"/>
      <c r="D76" s="58" t="s">
        <v>332</v>
      </c>
      <c r="E76" s="58" t="s">
        <v>1868</v>
      </c>
      <c r="F76" s="58" t="s">
        <v>337</v>
      </c>
      <c r="G76" s="58">
        <v>0</v>
      </c>
      <c r="H76" s="59">
        <v>0</v>
      </c>
      <c r="I76" s="60">
        <v>0</v>
      </c>
      <c r="J76" s="59">
        <v>0</v>
      </c>
      <c r="K76" s="61" t="s">
        <v>330</v>
      </c>
      <c r="L76" s="62" t="s">
        <v>330</v>
      </c>
    </row>
    <row r="77" spans="1:12" x14ac:dyDescent="0.25">
      <c r="A77" s="57" t="s">
        <v>1867</v>
      </c>
      <c r="B77" s="58" t="s">
        <v>1834</v>
      </c>
      <c r="C77" s="58"/>
      <c r="D77" s="58" t="s">
        <v>332</v>
      </c>
      <c r="E77" s="58" t="s">
        <v>1866</v>
      </c>
      <c r="F77" s="58" t="s">
        <v>337</v>
      </c>
      <c r="G77" s="58">
        <v>0</v>
      </c>
      <c r="H77" s="59">
        <v>0</v>
      </c>
      <c r="I77" s="60">
        <v>0</v>
      </c>
      <c r="J77" s="59">
        <v>0</v>
      </c>
      <c r="K77" s="61" t="s">
        <v>330</v>
      </c>
      <c r="L77" s="62" t="s">
        <v>330</v>
      </c>
    </row>
    <row r="78" spans="1:12" x14ac:dyDescent="0.25">
      <c r="A78" s="57" t="s">
        <v>1865</v>
      </c>
      <c r="B78" s="58" t="s">
        <v>1834</v>
      </c>
      <c r="C78" s="58"/>
      <c r="D78" s="58" t="s">
        <v>332</v>
      </c>
      <c r="E78" s="58" t="s">
        <v>1864</v>
      </c>
      <c r="F78" s="58" t="s">
        <v>337</v>
      </c>
      <c r="G78" s="58">
        <v>0</v>
      </c>
      <c r="H78" s="59">
        <v>0</v>
      </c>
      <c r="I78" s="60">
        <v>0</v>
      </c>
      <c r="J78" s="59">
        <v>0</v>
      </c>
      <c r="K78" s="61" t="s">
        <v>330</v>
      </c>
      <c r="L78" s="62" t="s">
        <v>330</v>
      </c>
    </row>
    <row r="79" spans="1:12" x14ac:dyDescent="0.25">
      <c r="A79" s="57" t="s">
        <v>1863</v>
      </c>
      <c r="B79" s="58" t="s">
        <v>1834</v>
      </c>
      <c r="C79" s="58"/>
      <c r="D79" s="58" t="s">
        <v>332</v>
      </c>
      <c r="E79" s="58" t="s">
        <v>1862</v>
      </c>
      <c r="F79" s="58" t="s">
        <v>337</v>
      </c>
      <c r="G79" s="58">
        <v>0</v>
      </c>
      <c r="H79" s="59">
        <v>0</v>
      </c>
      <c r="I79" s="60">
        <v>0</v>
      </c>
      <c r="J79" s="59">
        <v>0</v>
      </c>
      <c r="K79" s="61" t="s">
        <v>330</v>
      </c>
      <c r="L79" s="62" t="s">
        <v>330</v>
      </c>
    </row>
    <row r="80" spans="1:12" x14ac:dyDescent="0.25">
      <c r="A80" s="57" t="s">
        <v>1861</v>
      </c>
      <c r="B80" s="58" t="s">
        <v>1834</v>
      </c>
      <c r="C80" s="58"/>
      <c r="D80" s="58" t="s">
        <v>332</v>
      </c>
      <c r="E80" s="58" t="s">
        <v>1860</v>
      </c>
      <c r="F80" s="58" t="s">
        <v>337</v>
      </c>
      <c r="G80" s="58">
        <v>0</v>
      </c>
      <c r="H80" s="59">
        <v>0</v>
      </c>
      <c r="I80" s="60">
        <v>0</v>
      </c>
      <c r="J80" s="59">
        <v>0</v>
      </c>
      <c r="K80" s="61" t="s">
        <v>330</v>
      </c>
      <c r="L80" s="62" t="s">
        <v>330</v>
      </c>
    </row>
    <row r="81" spans="1:12" x14ac:dyDescent="0.25">
      <c r="A81" s="57" t="s">
        <v>1859</v>
      </c>
      <c r="B81" s="58" t="s">
        <v>1834</v>
      </c>
      <c r="C81" s="58"/>
      <c r="D81" s="58" t="s">
        <v>332</v>
      </c>
      <c r="E81" s="58" t="s">
        <v>1858</v>
      </c>
      <c r="F81" s="58" t="s">
        <v>337</v>
      </c>
      <c r="G81" s="58">
        <v>0</v>
      </c>
      <c r="H81" s="59">
        <v>243197.62</v>
      </c>
      <c r="I81" s="60">
        <v>0</v>
      </c>
      <c r="J81" s="59">
        <v>243197.62</v>
      </c>
      <c r="K81" s="61" t="s">
        <v>330</v>
      </c>
      <c r="L81" s="62" t="s">
        <v>330</v>
      </c>
    </row>
    <row r="82" spans="1:12" x14ac:dyDescent="0.25">
      <c r="A82" s="57" t="s">
        <v>1857</v>
      </c>
      <c r="B82" s="58" t="s">
        <v>1834</v>
      </c>
      <c r="C82" s="58"/>
      <c r="D82" s="58" t="s">
        <v>332</v>
      </c>
      <c r="E82" s="58" t="s">
        <v>1856</v>
      </c>
      <c r="F82" s="58" t="s">
        <v>337</v>
      </c>
      <c r="G82" s="58">
        <v>0</v>
      </c>
      <c r="H82" s="59">
        <v>789091.3</v>
      </c>
      <c r="I82" s="60">
        <v>0</v>
      </c>
      <c r="J82" s="59">
        <v>789091.3</v>
      </c>
      <c r="K82" s="61" t="s">
        <v>330</v>
      </c>
      <c r="L82" s="62" t="s">
        <v>330</v>
      </c>
    </row>
    <row r="83" spans="1:12" x14ac:dyDescent="0.25">
      <c r="A83" s="57" t="s">
        <v>1855</v>
      </c>
      <c r="B83" s="58" t="s">
        <v>1834</v>
      </c>
      <c r="C83" s="58"/>
      <c r="D83" s="58" t="s">
        <v>332</v>
      </c>
      <c r="E83" s="58" t="s">
        <v>1854</v>
      </c>
      <c r="F83" s="58" t="s">
        <v>337</v>
      </c>
      <c r="G83" s="58">
        <v>0</v>
      </c>
      <c r="H83" s="59">
        <v>820614.13</v>
      </c>
      <c r="I83" s="60">
        <v>0</v>
      </c>
      <c r="J83" s="59">
        <v>820614.13</v>
      </c>
      <c r="K83" s="61" t="s">
        <v>330</v>
      </c>
      <c r="L83" s="62" t="s">
        <v>330</v>
      </c>
    </row>
    <row r="84" spans="1:12" x14ac:dyDescent="0.25">
      <c r="A84" s="57" t="s">
        <v>1853</v>
      </c>
      <c r="B84" s="58" t="s">
        <v>1834</v>
      </c>
      <c r="C84" s="58"/>
      <c r="D84" s="58" t="s">
        <v>332</v>
      </c>
      <c r="E84" s="58" t="s">
        <v>1852</v>
      </c>
      <c r="F84" s="58" t="s">
        <v>337</v>
      </c>
      <c r="G84" s="58">
        <v>0</v>
      </c>
      <c r="H84" s="59">
        <v>876980.22</v>
      </c>
      <c r="I84" s="60">
        <v>0</v>
      </c>
      <c r="J84" s="59">
        <v>876980.22</v>
      </c>
      <c r="K84" s="61" t="s">
        <v>330</v>
      </c>
      <c r="L84" s="62" t="s">
        <v>330</v>
      </c>
    </row>
    <row r="85" spans="1:12" x14ac:dyDescent="0.25">
      <c r="A85" s="57" t="s">
        <v>1851</v>
      </c>
      <c r="B85" s="58" t="s">
        <v>1834</v>
      </c>
      <c r="C85" s="58"/>
      <c r="D85" s="58" t="s">
        <v>332</v>
      </c>
      <c r="E85" s="58" t="s">
        <v>1850</v>
      </c>
      <c r="F85" s="58" t="s">
        <v>337</v>
      </c>
      <c r="G85" s="58">
        <v>0</v>
      </c>
      <c r="H85" s="59">
        <v>1225532.1200000001</v>
      </c>
      <c r="I85" s="60">
        <v>0</v>
      </c>
      <c r="J85" s="59">
        <v>1225532.1200000001</v>
      </c>
      <c r="K85" s="61" t="s">
        <v>330</v>
      </c>
      <c r="L85" s="62" t="s">
        <v>330</v>
      </c>
    </row>
    <row r="86" spans="1:12" x14ac:dyDescent="0.25">
      <c r="A86" s="57" t="s">
        <v>1849</v>
      </c>
      <c r="B86" s="58" t="s">
        <v>1834</v>
      </c>
      <c r="C86" s="58"/>
      <c r="D86" s="58" t="s">
        <v>332</v>
      </c>
      <c r="E86" s="58" t="s">
        <v>1848</v>
      </c>
      <c r="F86" s="58" t="s">
        <v>337</v>
      </c>
      <c r="G86" s="58">
        <v>0</v>
      </c>
      <c r="H86" s="59">
        <v>1244463.6100000001</v>
      </c>
      <c r="I86" s="60">
        <v>0</v>
      </c>
      <c r="J86" s="59">
        <v>1244463.6100000001</v>
      </c>
      <c r="K86" s="61" t="s">
        <v>330</v>
      </c>
      <c r="L86" s="62" t="s">
        <v>330</v>
      </c>
    </row>
    <row r="87" spans="1:12" x14ac:dyDescent="0.25">
      <c r="A87" s="57" t="s">
        <v>1847</v>
      </c>
      <c r="B87" s="58" t="s">
        <v>1834</v>
      </c>
      <c r="C87" s="58"/>
      <c r="D87" s="58" t="s">
        <v>332</v>
      </c>
      <c r="E87" s="58" t="s">
        <v>1846</v>
      </c>
      <c r="F87" s="58" t="s">
        <v>337</v>
      </c>
      <c r="G87" s="58">
        <v>0</v>
      </c>
      <c r="H87" s="59">
        <v>1309143.31</v>
      </c>
      <c r="I87" s="60">
        <v>0</v>
      </c>
      <c r="J87" s="59">
        <v>1309143.31</v>
      </c>
      <c r="K87" s="61" t="s">
        <v>330</v>
      </c>
      <c r="L87" s="62" t="s">
        <v>330</v>
      </c>
    </row>
    <row r="88" spans="1:12" x14ac:dyDescent="0.25">
      <c r="A88" s="57" t="s">
        <v>1845</v>
      </c>
      <c r="B88" s="58" t="s">
        <v>1834</v>
      </c>
      <c r="C88" s="58"/>
      <c r="D88" s="58" t="s">
        <v>332</v>
      </c>
      <c r="E88" s="58" t="s">
        <v>1844</v>
      </c>
      <c r="F88" s="58" t="s">
        <v>337</v>
      </c>
      <c r="G88" s="58">
        <v>0</v>
      </c>
      <c r="H88" s="59">
        <v>2099293</v>
      </c>
      <c r="I88" s="60">
        <v>0</v>
      </c>
      <c r="J88" s="59">
        <v>2099293</v>
      </c>
      <c r="K88" s="61" t="s">
        <v>330</v>
      </c>
      <c r="L88" s="62" t="s">
        <v>330</v>
      </c>
    </row>
    <row r="89" spans="1:12" x14ac:dyDescent="0.25">
      <c r="A89" s="57" t="s">
        <v>1843</v>
      </c>
      <c r="B89" s="58" t="s">
        <v>1834</v>
      </c>
      <c r="C89" s="58"/>
      <c r="D89" s="58" t="s">
        <v>332</v>
      </c>
      <c r="E89" s="58" t="s">
        <v>1842</v>
      </c>
      <c r="F89" s="58" t="s">
        <v>337</v>
      </c>
      <c r="G89" s="58">
        <v>0</v>
      </c>
      <c r="H89" s="59">
        <v>2395818.7200000002</v>
      </c>
      <c r="I89" s="60">
        <v>0</v>
      </c>
      <c r="J89" s="59">
        <v>2395818.7200000002</v>
      </c>
      <c r="K89" s="61" t="s">
        <v>330</v>
      </c>
      <c r="L89" s="62" t="s">
        <v>330</v>
      </c>
    </row>
    <row r="90" spans="1:12" x14ac:dyDescent="0.25">
      <c r="A90" s="57" t="s">
        <v>1841</v>
      </c>
      <c r="B90" s="58" t="s">
        <v>1834</v>
      </c>
      <c r="C90" s="58"/>
      <c r="D90" s="58" t="s">
        <v>332</v>
      </c>
      <c r="E90" s="58" t="s">
        <v>1840</v>
      </c>
      <c r="F90" s="58" t="s">
        <v>337</v>
      </c>
      <c r="G90" s="58">
        <v>0</v>
      </c>
      <c r="H90" s="59">
        <v>5358380.03</v>
      </c>
      <c r="I90" s="60">
        <v>0</v>
      </c>
      <c r="J90" s="59">
        <v>5358380.03</v>
      </c>
      <c r="K90" s="61" t="s">
        <v>330</v>
      </c>
      <c r="L90" s="62" t="s">
        <v>330</v>
      </c>
    </row>
    <row r="91" spans="1:12" x14ac:dyDescent="0.25">
      <c r="A91" s="57" t="s">
        <v>1839</v>
      </c>
      <c r="B91" s="58" t="s">
        <v>1834</v>
      </c>
      <c r="C91" s="58"/>
      <c r="D91" s="58" t="s">
        <v>339</v>
      </c>
      <c r="E91" s="58" t="s">
        <v>1838</v>
      </c>
      <c r="F91" s="58" t="s">
        <v>346</v>
      </c>
      <c r="G91" s="58">
        <v>0</v>
      </c>
      <c r="H91" s="59">
        <v>9546065.75</v>
      </c>
      <c r="I91" s="60">
        <v>0</v>
      </c>
      <c r="J91" s="59">
        <v>9546065.75</v>
      </c>
      <c r="K91" s="61" t="s">
        <v>330</v>
      </c>
      <c r="L91" s="62" t="s">
        <v>330</v>
      </c>
    </row>
    <row r="92" spans="1:12" x14ac:dyDescent="0.25">
      <c r="A92" s="57" t="s">
        <v>1837</v>
      </c>
      <c r="B92" s="58" t="s">
        <v>1834</v>
      </c>
      <c r="C92" s="58"/>
      <c r="D92" s="58" t="s">
        <v>332</v>
      </c>
      <c r="E92" s="58" t="s">
        <v>1836</v>
      </c>
      <c r="F92" s="58" t="s">
        <v>337</v>
      </c>
      <c r="G92" s="58">
        <v>0</v>
      </c>
      <c r="H92" s="59">
        <v>10804426.060000001</v>
      </c>
      <c r="I92" s="60">
        <v>0</v>
      </c>
      <c r="J92" s="59">
        <v>10804426.060000001</v>
      </c>
      <c r="K92" s="61" t="s">
        <v>330</v>
      </c>
      <c r="L92" s="62" t="s">
        <v>330</v>
      </c>
    </row>
    <row r="93" spans="1:12" x14ac:dyDescent="0.25">
      <c r="A93" s="57" t="s">
        <v>1835</v>
      </c>
      <c r="B93" s="58" t="s">
        <v>1834</v>
      </c>
      <c r="C93" s="58"/>
      <c r="D93" s="58" t="s">
        <v>332</v>
      </c>
      <c r="E93" s="58" t="s">
        <v>1833</v>
      </c>
      <c r="F93" s="58" t="s">
        <v>337</v>
      </c>
      <c r="G93" s="58">
        <v>0</v>
      </c>
      <c r="H93" s="59">
        <v>30755906.829999998</v>
      </c>
      <c r="I93" s="60">
        <v>0</v>
      </c>
      <c r="J93" s="59">
        <v>30755906.829999998</v>
      </c>
      <c r="K93" s="61" t="s">
        <v>330</v>
      </c>
      <c r="L93" s="62" t="s">
        <v>330</v>
      </c>
    </row>
    <row r="94" spans="1:12" x14ac:dyDescent="0.25">
      <c r="A94" s="57" t="s">
        <v>1832</v>
      </c>
      <c r="B94" s="58" t="s">
        <v>1798</v>
      </c>
      <c r="C94" s="58"/>
      <c r="D94" s="58" t="s">
        <v>332</v>
      </c>
      <c r="E94" s="58" t="s">
        <v>1831</v>
      </c>
      <c r="F94" s="58" t="s">
        <v>337</v>
      </c>
      <c r="G94" s="58">
        <v>0</v>
      </c>
      <c r="H94" s="59">
        <v>315547.89</v>
      </c>
      <c r="I94" s="60">
        <v>0</v>
      </c>
      <c r="J94" s="59">
        <v>315547.89</v>
      </c>
      <c r="K94" s="61" t="s">
        <v>330</v>
      </c>
      <c r="L94" s="62" t="s">
        <v>330</v>
      </c>
    </row>
    <row r="95" spans="1:12" x14ac:dyDescent="0.25">
      <c r="A95" s="57" t="s">
        <v>1830</v>
      </c>
      <c r="B95" s="58" t="s">
        <v>1798</v>
      </c>
      <c r="C95" s="58"/>
      <c r="D95" s="58" t="s">
        <v>332</v>
      </c>
      <c r="E95" s="58" t="s">
        <v>1829</v>
      </c>
      <c r="F95" s="58" t="s">
        <v>337</v>
      </c>
      <c r="G95" s="58">
        <v>0</v>
      </c>
      <c r="H95" s="59">
        <v>556775.13</v>
      </c>
      <c r="I95" s="60">
        <v>0</v>
      </c>
      <c r="J95" s="59">
        <v>556775.13</v>
      </c>
      <c r="K95" s="61" t="s">
        <v>330</v>
      </c>
      <c r="L95" s="62" t="s">
        <v>330</v>
      </c>
    </row>
    <row r="96" spans="1:12" x14ac:dyDescent="0.25">
      <c r="A96" s="57" t="s">
        <v>1828</v>
      </c>
      <c r="B96" s="58" t="s">
        <v>1798</v>
      </c>
      <c r="C96" s="58" t="s">
        <v>1827</v>
      </c>
      <c r="D96" s="58" t="s">
        <v>396</v>
      </c>
      <c r="E96" s="58" t="s">
        <v>1826</v>
      </c>
      <c r="F96" s="58" t="s">
        <v>1825</v>
      </c>
      <c r="G96" s="58">
        <v>0.33119999999999999</v>
      </c>
      <c r="H96" s="59">
        <v>1115127.93</v>
      </c>
      <c r="I96" s="60">
        <v>369283.08</v>
      </c>
      <c r="J96" s="59">
        <v>745844.84999999986</v>
      </c>
      <c r="K96" s="63">
        <v>45021</v>
      </c>
      <c r="L96" s="62" t="s">
        <v>330</v>
      </c>
    </row>
    <row r="97" spans="1:12" x14ac:dyDescent="0.25">
      <c r="A97" s="57" t="s">
        <v>1824</v>
      </c>
      <c r="B97" s="58" t="s">
        <v>1798</v>
      </c>
      <c r="C97" s="58"/>
      <c r="D97" s="58" t="s">
        <v>332</v>
      </c>
      <c r="E97" s="58" t="s">
        <v>1823</v>
      </c>
      <c r="F97" s="58" t="s">
        <v>337</v>
      </c>
      <c r="G97" s="58">
        <v>0</v>
      </c>
      <c r="H97" s="59">
        <v>758485.14</v>
      </c>
      <c r="I97" s="60">
        <v>0</v>
      </c>
      <c r="J97" s="59">
        <v>758485.14</v>
      </c>
      <c r="K97" s="61" t="s">
        <v>330</v>
      </c>
      <c r="L97" s="62" t="s">
        <v>330</v>
      </c>
    </row>
    <row r="98" spans="1:12" x14ac:dyDescent="0.25">
      <c r="A98" s="57" t="s">
        <v>1822</v>
      </c>
      <c r="B98" s="58" t="s">
        <v>1798</v>
      </c>
      <c r="C98" s="58"/>
      <c r="D98" s="58" t="s">
        <v>332</v>
      </c>
      <c r="E98" s="58" t="s">
        <v>1821</v>
      </c>
      <c r="F98" s="58" t="s">
        <v>337</v>
      </c>
      <c r="G98" s="58">
        <v>0</v>
      </c>
      <c r="H98" s="59">
        <v>824623.75</v>
      </c>
      <c r="I98" s="60">
        <v>0</v>
      </c>
      <c r="J98" s="59">
        <v>824623.75</v>
      </c>
      <c r="K98" s="61" t="s">
        <v>330</v>
      </c>
      <c r="L98" s="62" t="s">
        <v>330</v>
      </c>
    </row>
    <row r="99" spans="1:12" x14ac:dyDescent="0.25">
      <c r="A99" s="57" t="s">
        <v>1820</v>
      </c>
      <c r="B99" s="58" t="s">
        <v>1798</v>
      </c>
      <c r="C99" s="58"/>
      <c r="D99" s="58" t="s">
        <v>332</v>
      </c>
      <c r="E99" s="58" t="s">
        <v>1819</v>
      </c>
      <c r="F99" s="58" t="s">
        <v>337</v>
      </c>
      <c r="G99" s="58">
        <v>0</v>
      </c>
      <c r="H99" s="59">
        <v>1444813.09</v>
      </c>
      <c r="I99" s="60">
        <v>0</v>
      </c>
      <c r="J99" s="59">
        <v>1444813.09</v>
      </c>
      <c r="K99" s="61" t="s">
        <v>330</v>
      </c>
      <c r="L99" s="62" t="s">
        <v>330</v>
      </c>
    </row>
    <row r="100" spans="1:12" x14ac:dyDescent="0.25">
      <c r="A100" s="57" t="s">
        <v>1818</v>
      </c>
      <c r="B100" s="58" t="s">
        <v>1798</v>
      </c>
      <c r="C100" s="58"/>
      <c r="D100" s="58" t="s">
        <v>396</v>
      </c>
      <c r="E100" s="58" t="s">
        <v>1817</v>
      </c>
      <c r="F100" s="58" t="s">
        <v>337</v>
      </c>
      <c r="G100" s="58">
        <v>0</v>
      </c>
      <c r="H100" s="59">
        <v>1525973.35</v>
      </c>
      <c r="I100" s="60">
        <v>0</v>
      </c>
      <c r="J100" s="59">
        <v>1525973.35</v>
      </c>
      <c r="K100" s="61" t="s">
        <v>330</v>
      </c>
      <c r="L100" s="62" t="s">
        <v>330</v>
      </c>
    </row>
    <row r="101" spans="1:12" x14ac:dyDescent="0.25">
      <c r="A101" s="57" t="s">
        <v>1816</v>
      </c>
      <c r="B101" s="58" t="s">
        <v>1798</v>
      </c>
      <c r="C101" s="58" t="s">
        <v>1815</v>
      </c>
      <c r="D101" s="58" t="s">
        <v>396</v>
      </c>
      <c r="E101" s="58" t="s">
        <v>1814</v>
      </c>
      <c r="F101" s="58" t="s">
        <v>1813</v>
      </c>
      <c r="G101" s="58">
        <v>0.2666</v>
      </c>
      <c r="H101" s="59">
        <v>5766225.7599999998</v>
      </c>
      <c r="I101" s="60">
        <v>1537527.64</v>
      </c>
      <c r="J101" s="59">
        <v>4228698.12</v>
      </c>
      <c r="K101" s="63">
        <v>45021</v>
      </c>
      <c r="L101" s="62" t="s">
        <v>330</v>
      </c>
    </row>
    <row r="102" spans="1:12" x14ac:dyDescent="0.25">
      <c r="A102" s="57" t="s">
        <v>1812</v>
      </c>
      <c r="B102" s="58" t="s">
        <v>1798</v>
      </c>
      <c r="C102" s="58"/>
      <c r="D102" s="58" t="s">
        <v>332</v>
      </c>
      <c r="E102" s="58" t="s">
        <v>1811</v>
      </c>
      <c r="F102" s="58" t="s">
        <v>337</v>
      </c>
      <c r="G102" s="58">
        <v>0</v>
      </c>
      <c r="H102" s="59">
        <v>5817569.0300000003</v>
      </c>
      <c r="I102" s="60">
        <v>0</v>
      </c>
      <c r="J102" s="59">
        <v>5817569.0300000003</v>
      </c>
      <c r="K102" s="61" t="s">
        <v>330</v>
      </c>
      <c r="L102" s="62" t="s">
        <v>330</v>
      </c>
    </row>
    <row r="103" spans="1:12" x14ac:dyDescent="0.25">
      <c r="A103" s="57" t="s">
        <v>1810</v>
      </c>
      <c r="B103" s="58" t="s">
        <v>1798</v>
      </c>
      <c r="C103" s="58"/>
      <c r="D103" s="58" t="s">
        <v>396</v>
      </c>
      <c r="E103" s="58" t="s">
        <v>1809</v>
      </c>
      <c r="F103" s="58" t="s">
        <v>337</v>
      </c>
      <c r="G103" s="58">
        <v>0</v>
      </c>
      <c r="H103" s="59">
        <v>13328413.869999999</v>
      </c>
      <c r="I103" s="60">
        <v>0</v>
      </c>
      <c r="J103" s="59">
        <v>13328413.869999999</v>
      </c>
      <c r="K103" s="61" t="s">
        <v>330</v>
      </c>
      <c r="L103" s="62" t="s">
        <v>330</v>
      </c>
    </row>
    <row r="104" spans="1:12" x14ac:dyDescent="0.25">
      <c r="A104" s="57" t="s">
        <v>1808</v>
      </c>
      <c r="B104" s="58" t="s">
        <v>1798</v>
      </c>
      <c r="C104" s="58"/>
      <c r="D104" s="58" t="s">
        <v>396</v>
      </c>
      <c r="E104" s="58" t="s">
        <v>1807</v>
      </c>
      <c r="F104" s="58" t="s">
        <v>337</v>
      </c>
      <c r="G104" s="58">
        <v>0</v>
      </c>
      <c r="H104" s="59">
        <v>17028551.649999999</v>
      </c>
      <c r="I104" s="60">
        <v>0</v>
      </c>
      <c r="J104" s="59">
        <v>17028551.649999999</v>
      </c>
      <c r="K104" s="61" t="s">
        <v>330</v>
      </c>
      <c r="L104" s="62" t="s">
        <v>330</v>
      </c>
    </row>
    <row r="105" spans="1:12" x14ac:dyDescent="0.25">
      <c r="A105" s="57" t="s">
        <v>1806</v>
      </c>
      <c r="B105" s="58" t="s">
        <v>1798</v>
      </c>
      <c r="C105" s="58"/>
      <c r="D105" s="58" t="s">
        <v>396</v>
      </c>
      <c r="E105" s="58" t="s">
        <v>1805</v>
      </c>
      <c r="F105" s="58" t="s">
        <v>337</v>
      </c>
      <c r="G105" s="58">
        <v>0</v>
      </c>
      <c r="H105" s="59">
        <v>18170954.329999998</v>
      </c>
      <c r="I105" s="60">
        <v>0</v>
      </c>
      <c r="J105" s="59">
        <v>18170954.329999998</v>
      </c>
      <c r="K105" s="61" t="s">
        <v>330</v>
      </c>
      <c r="L105" s="62" t="s">
        <v>330</v>
      </c>
    </row>
    <row r="106" spans="1:12" x14ac:dyDescent="0.25">
      <c r="A106" s="57" t="s">
        <v>1804</v>
      </c>
      <c r="B106" s="58" t="s">
        <v>1798</v>
      </c>
      <c r="C106" s="58" t="s">
        <v>1803</v>
      </c>
      <c r="D106" s="58" t="s">
        <v>396</v>
      </c>
      <c r="E106" s="58" t="s">
        <v>1802</v>
      </c>
      <c r="F106" s="58" t="s">
        <v>424</v>
      </c>
      <c r="G106" s="58">
        <v>0.37390000000000001</v>
      </c>
      <c r="H106" s="59">
        <v>30870280.379999999</v>
      </c>
      <c r="I106" s="60">
        <v>11542775.550000001</v>
      </c>
      <c r="J106" s="59">
        <v>19327504.829999998</v>
      </c>
      <c r="K106" s="63">
        <v>45005</v>
      </c>
      <c r="L106" s="62" t="s">
        <v>330</v>
      </c>
    </row>
    <row r="107" spans="1:12" x14ac:dyDescent="0.25">
      <c r="A107" s="57" t="s">
        <v>1801</v>
      </c>
      <c r="B107" s="58" t="s">
        <v>1798</v>
      </c>
      <c r="C107" s="58"/>
      <c r="D107" s="58" t="s">
        <v>332</v>
      </c>
      <c r="E107" s="58" t="s">
        <v>1800</v>
      </c>
      <c r="F107" s="58" t="s">
        <v>337</v>
      </c>
      <c r="G107" s="58">
        <v>0</v>
      </c>
      <c r="H107" s="59">
        <v>62232666.590000004</v>
      </c>
      <c r="I107" s="60">
        <v>0</v>
      </c>
      <c r="J107" s="59">
        <v>62232666.590000004</v>
      </c>
      <c r="K107" s="61" t="s">
        <v>330</v>
      </c>
      <c r="L107" s="62" t="s">
        <v>330</v>
      </c>
    </row>
    <row r="108" spans="1:12" x14ac:dyDescent="0.25">
      <c r="A108" s="57" t="s">
        <v>1799</v>
      </c>
      <c r="B108" s="58" t="s">
        <v>1798</v>
      </c>
      <c r="C108" s="58"/>
      <c r="D108" s="58" t="s">
        <v>332</v>
      </c>
      <c r="E108" s="58" t="s">
        <v>1797</v>
      </c>
      <c r="F108" s="58" t="s">
        <v>337</v>
      </c>
      <c r="G108" s="58">
        <v>0</v>
      </c>
      <c r="H108" s="59">
        <v>83810000</v>
      </c>
      <c r="I108" s="60">
        <v>0</v>
      </c>
      <c r="J108" s="59">
        <v>83810000</v>
      </c>
      <c r="K108" s="61" t="s">
        <v>330</v>
      </c>
      <c r="L108" s="62" t="s">
        <v>330</v>
      </c>
    </row>
    <row r="109" spans="1:12" x14ac:dyDescent="0.25">
      <c r="A109" s="57" t="s">
        <v>1796</v>
      </c>
      <c r="B109" s="58" t="s">
        <v>1793</v>
      </c>
      <c r="C109" s="58"/>
      <c r="D109" s="58" t="s">
        <v>332</v>
      </c>
      <c r="E109" s="58" t="s">
        <v>1795</v>
      </c>
      <c r="F109" s="58" t="s">
        <v>337</v>
      </c>
      <c r="G109" s="58">
        <v>0</v>
      </c>
      <c r="H109" s="59">
        <v>6134038.5999999996</v>
      </c>
      <c r="I109" s="60">
        <v>0</v>
      </c>
      <c r="J109" s="59">
        <v>6134038.5999999996</v>
      </c>
      <c r="K109" s="61" t="s">
        <v>330</v>
      </c>
      <c r="L109" s="62" t="s">
        <v>330</v>
      </c>
    </row>
    <row r="110" spans="1:12" x14ac:dyDescent="0.25">
      <c r="A110" s="57" t="s">
        <v>1794</v>
      </c>
      <c r="B110" s="58" t="s">
        <v>1793</v>
      </c>
      <c r="C110" s="58"/>
      <c r="D110" s="58" t="s">
        <v>339</v>
      </c>
      <c r="E110" s="58" t="s">
        <v>1792</v>
      </c>
      <c r="F110" s="58" t="s">
        <v>337</v>
      </c>
      <c r="G110" s="58">
        <v>0</v>
      </c>
      <c r="H110" s="59">
        <v>21998317.390000001</v>
      </c>
      <c r="I110" s="60">
        <v>0</v>
      </c>
      <c r="J110" s="59">
        <v>21998317.390000001</v>
      </c>
      <c r="K110" s="61" t="s">
        <v>330</v>
      </c>
      <c r="L110" s="62" t="s">
        <v>330</v>
      </c>
    </row>
    <row r="111" spans="1:12" x14ac:dyDescent="0.25">
      <c r="A111" s="57" t="s">
        <v>1791</v>
      </c>
      <c r="B111" s="58" t="s">
        <v>187</v>
      </c>
      <c r="C111" s="58"/>
      <c r="D111" s="58" t="s">
        <v>332</v>
      </c>
      <c r="E111" s="58" t="s">
        <v>1774</v>
      </c>
      <c r="F111" s="58"/>
      <c r="G111" s="65" t="s">
        <v>330</v>
      </c>
      <c r="H111" s="59">
        <v>0</v>
      </c>
      <c r="I111" s="60">
        <v>0</v>
      </c>
      <c r="J111" s="59">
        <v>0</v>
      </c>
      <c r="K111" s="61" t="s">
        <v>330</v>
      </c>
      <c r="L111" s="62" t="s">
        <v>330</v>
      </c>
    </row>
    <row r="112" spans="1:12" x14ac:dyDescent="0.25">
      <c r="A112" s="57" t="s">
        <v>1790</v>
      </c>
      <c r="B112" s="58" t="s">
        <v>187</v>
      </c>
      <c r="C112" s="58"/>
      <c r="D112" s="58" t="s">
        <v>332</v>
      </c>
      <c r="E112" s="58" t="s">
        <v>1789</v>
      </c>
      <c r="F112" s="58"/>
      <c r="G112" s="65" t="s">
        <v>330</v>
      </c>
      <c r="H112" s="59">
        <v>0</v>
      </c>
      <c r="I112" s="60">
        <v>0</v>
      </c>
      <c r="J112" s="59">
        <v>0</v>
      </c>
      <c r="K112" s="61" t="s">
        <v>330</v>
      </c>
      <c r="L112" s="62" t="s">
        <v>330</v>
      </c>
    </row>
    <row r="113" spans="1:12" x14ac:dyDescent="0.25">
      <c r="A113" s="57" t="s">
        <v>132</v>
      </c>
      <c r="B113" s="58" t="s">
        <v>187</v>
      </c>
      <c r="C113" s="58" t="s">
        <v>1788</v>
      </c>
      <c r="D113" s="58" t="s">
        <v>7</v>
      </c>
      <c r="E113" s="58" t="s">
        <v>1787</v>
      </c>
      <c r="F113" s="58" t="s">
        <v>1786</v>
      </c>
      <c r="G113" s="58">
        <v>0.99540000000000006</v>
      </c>
      <c r="H113" s="59">
        <v>32464769.579999998</v>
      </c>
      <c r="I113" s="60">
        <v>32314427.699999999</v>
      </c>
      <c r="J113" s="59">
        <v>150341.87999999896</v>
      </c>
      <c r="K113" s="63">
        <v>44697</v>
      </c>
      <c r="L113" s="64">
        <v>45972</v>
      </c>
    </row>
    <row r="114" spans="1:12" x14ac:dyDescent="0.25">
      <c r="A114" s="57" t="s">
        <v>169</v>
      </c>
      <c r="B114" s="58" t="s">
        <v>187</v>
      </c>
      <c r="C114" s="58" t="s">
        <v>1785</v>
      </c>
      <c r="D114" s="58" t="s">
        <v>355</v>
      </c>
      <c r="E114" s="58" t="s">
        <v>1784</v>
      </c>
      <c r="F114" s="58" t="s">
        <v>1783</v>
      </c>
      <c r="G114" s="58">
        <v>0.94</v>
      </c>
      <c r="H114" s="59">
        <v>44149151.5</v>
      </c>
      <c r="I114" s="60">
        <v>41500959.490000002</v>
      </c>
      <c r="J114" s="59">
        <v>2648192.0099999979</v>
      </c>
      <c r="K114" s="63">
        <v>44763</v>
      </c>
      <c r="L114" s="64">
        <v>45999</v>
      </c>
    </row>
    <row r="115" spans="1:12" x14ac:dyDescent="0.25">
      <c r="A115" s="57" t="s">
        <v>305</v>
      </c>
      <c r="B115" s="58" t="s">
        <v>187</v>
      </c>
      <c r="C115" s="58" t="s">
        <v>1782</v>
      </c>
      <c r="D115" s="58" t="s">
        <v>355</v>
      </c>
      <c r="E115" s="58" t="s">
        <v>1781</v>
      </c>
      <c r="F115" s="58" t="s">
        <v>1411</v>
      </c>
      <c r="G115" s="58">
        <v>0.77300000000000002</v>
      </c>
      <c r="H115" s="59">
        <v>16880240</v>
      </c>
      <c r="I115" s="60">
        <v>13048536.539999999</v>
      </c>
      <c r="J115" s="59">
        <v>3831703.4600000009</v>
      </c>
      <c r="K115" s="63">
        <v>45034</v>
      </c>
      <c r="L115" s="64">
        <v>45253</v>
      </c>
    </row>
    <row r="116" spans="1:12" x14ac:dyDescent="0.25">
      <c r="A116" s="57" t="s">
        <v>185</v>
      </c>
      <c r="B116" s="58" t="s">
        <v>187</v>
      </c>
      <c r="C116" s="58" t="s">
        <v>1780</v>
      </c>
      <c r="D116" s="58" t="s">
        <v>1779</v>
      </c>
      <c r="E116" s="58" t="s">
        <v>1778</v>
      </c>
      <c r="F116" s="58" t="s">
        <v>109</v>
      </c>
      <c r="G116" s="58">
        <v>0</v>
      </c>
      <c r="H116" s="59">
        <v>5054505.24</v>
      </c>
      <c r="I116" s="60">
        <v>0</v>
      </c>
      <c r="J116" s="59">
        <v>5054505.24</v>
      </c>
      <c r="K116" s="61" t="s">
        <v>330</v>
      </c>
      <c r="L116" s="64">
        <v>46312</v>
      </c>
    </row>
    <row r="117" spans="1:12" x14ac:dyDescent="0.25">
      <c r="A117" s="57" t="s">
        <v>142</v>
      </c>
      <c r="B117" s="58" t="s">
        <v>187</v>
      </c>
      <c r="C117" s="58" t="s">
        <v>1058</v>
      </c>
      <c r="D117" s="58" t="s">
        <v>7</v>
      </c>
      <c r="E117" s="58" t="s">
        <v>1777</v>
      </c>
      <c r="F117" s="58" t="s">
        <v>1622</v>
      </c>
      <c r="G117" s="58">
        <v>0.51629999999999998</v>
      </c>
      <c r="H117" s="59">
        <v>31022838.120000001</v>
      </c>
      <c r="I117" s="60">
        <v>16018051.23</v>
      </c>
      <c r="J117" s="59">
        <v>15004786.890000001</v>
      </c>
      <c r="K117" s="63">
        <v>45309</v>
      </c>
      <c r="L117" s="64">
        <v>46392</v>
      </c>
    </row>
    <row r="118" spans="1:12" x14ac:dyDescent="0.25">
      <c r="A118" s="57" t="s">
        <v>140</v>
      </c>
      <c r="B118" s="58" t="s">
        <v>187</v>
      </c>
      <c r="C118" s="58" t="s">
        <v>674</v>
      </c>
      <c r="D118" s="58" t="s">
        <v>7</v>
      </c>
      <c r="E118" s="58" t="s">
        <v>1776</v>
      </c>
      <c r="F118" s="58" t="s">
        <v>1775</v>
      </c>
      <c r="G118" s="58">
        <v>0.66079999999999994</v>
      </c>
      <c r="H118" s="59">
        <v>48872552.259999998</v>
      </c>
      <c r="I118" s="60">
        <v>32294745.039999999</v>
      </c>
      <c r="J118" s="59">
        <v>16577807.219999999</v>
      </c>
      <c r="K118" s="63">
        <v>44875</v>
      </c>
      <c r="L118" s="64">
        <v>46375</v>
      </c>
    </row>
    <row r="119" spans="1:12" x14ac:dyDescent="0.25">
      <c r="A119" s="57" t="s">
        <v>146</v>
      </c>
      <c r="B119" s="58" t="s">
        <v>187</v>
      </c>
      <c r="C119" s="58" t="s">
        <v>1546</v>
      </c>
      <c r="D119" s="58" t="s">
        <v>426</v>
      </c>
      <c r="E119" s="58" t="s">
        <v>1774</v>
      </c>
      <c r="F119" s="58" t="s">
        <v>334</v>
      </c>
      <c r="G119" s="58">
        <v>0.71930000000000005</v>
      </c>
      <c r="H119" s="59">
        <v>89008310.650000006</v>
      </c>
      <c r="I119" s="60">
        <v>64026819.340000004</v>
      </c>
      <c r="J119" s="59">
        <v>24981491.310000002</v>
      </c>
      <c r="K119" s="63">
        <v>44789</v>
      </c>
      <c r="L119" s="64">
        <v>45510</v>
      </c>
    </row>
    <row r="120" spans="1:12" x14ac:dyDescent="0.25">
      <c r="A120" s="57" t="s">
        <v>1773</v>
      </c>
      <c r="B120" s="58" t="s">
        <v>187</v>
      </c>
      <c r="C120" s="58"/>
      <c r="D120" s="58" t="s">
        <v>332</v>
      </c>
      <c r="E120" s="58" t="s">
        <v>1772</v>
      </c>
      <c r="F120" s="58"/>
      <c r="G120" s="58">
        <v>0</v>
      </c>
      <c r="H120" s="59">
        <v>26911605.760000002</v>
      </c>
      <c r="I120" s="60">
        <v>0</v>
      </c>
      <c r="J120" s="59">
        <v>26911605.760000002</v>
      </c>
      <c r="K120" s="61" t="s">
        <v>330</v>
      </c>
      <c r="L120" s="62" t="s">
        <v>330</v>
      </c>
    </row>
    <row r="121" spans="1:12" x14ac:dyDescent="0.25">
      <c r="A121" s="57" t="s">
        <v>1771</v>
      </c>
      <c r="B121" s="58" t="s">
        <v>187</v>
      </c>
      <c r="C121" s="58"/>
      <c r="D121" s="58" t="s">
        <v>332</v>
      </c>
      <c r="E121" s="58" t="s">
        <v>1770</v>
      </c>
      <c r="F121" s="58" t="s">
        <v>337</v>
      </c>
      <c r="G121" s="58">
        <v>0</v>
      </c>
      <c r="H121" s="59">
        <v>30877043.190000001</v>
      </c>
      <c r="I121" s="60">
        <v>0</v>
      </c>
      <c r="J121" s="59">
        <v>30877043.190000001</v>
      </c>
      <c r="K121" s="61" t="s">
        <v>330</v>
      </c>
      <c r="L121" s="62" t="s">
        <v>330</v>
      </c>
    </row>
    <row r="122" spans="1:12" x14ac:dyDescent="0.25">
      <c r="A122" s="57" t="s">
        <v>1769</v>
      </c>
      <c r="B122" s="58" t="s">
        <v>187</v>
      </c>
      <c r="C122" s="58"/>
      <c r="D122" s="58" t="s">
        <v>332</v>
      </c>
      <c r="E122" s="58" t="s">
        <v>1768</v>
      </c>
      <c r="F122" s="58" t="s">
        <v>337</v>
      </c>
      <c r="G122" s="58">
        <v>0</v>
      </c>
      <c r="H122" s="59">
        <v>31201067.690000001</v>
      </c>
      <c r="I122" s="60">
        <v>0</v>
      </c>
      <c r="J122" s="59">
        <v>31201067.690000001</v>
      </c>
      <c r="K122" s="61" t="s">
        <v>330</v>
      </c>
      <c r="L122" s="62" t="s">
        <v>330</v>
      </c>
    </row>
    <row r="123" spans="1:12" x14ac:dyDescent="0.25">
      <c r="A123" s="57" t="s">
        <v>144</v>
      </c>
      <c r="B123" s="58" t="s">
        <v>187</v>
      </c>
      <c r="C123" s="58" t="s">
        <v>1767</v>
      </c>
      <c r="D123" s="58" t="s">
        <v>7</v>
      </c>
      <c r="E123" s="58" t="s">
        <v>1766</v>
      </c>
      <c r="F123" s="58" t="s">
        <v>1765</v>
      </c>
      <c r="G123" s="58">
        <v>0.44920000000000004</v>
      </c>
      <c r="H123" s="59">
        <v>62211091.020000003</v>
      </c>
      <c r="I123" s="60">
        <v>27948056.390000001</v>
      </c>
      <c r="J123" s="59">
        <v>34263034.630000003</v>
      </c>
      <c r="K123" s="63">
        <v>44883</v>
      </c>
      <c r="L123" s="64">
        <v>46144</v>
      </c>
    </row>
    <row r="124" spans="1:12" x14ac:dyDescent="0.25">
      <c r="A124" s="57" t="s">
        <v>1764</v>
      </c>
      <c r="B124" s="58" t="s">
        <v>187</v>
      </c>
      <c r="C124" s="58"/>
      <c r="D124" s="58" t="s">
        <v>332</v>
      </c>
      <c r="E124" s="58" t="s">
        <v>1763</v>
      </c>
      <c r="F124" s="58" t="s">
        <v>337</v>
      </c>
      <c r="G124" s="58">
        <v>0</v>
      </c>
      <c r="H124" s="59">
        <v>35368742.579999998</v>
      </c>
      <c r="I124" s="60">
        <v>0</v>
      </c>
      <c r="J124" s="59">
        <v>35368742.579999998</v>
      </c>
      <c r="K124" s="61" t="s">
        <v>330</v>
      </c>
      <c r="L124" s="62" t="s">
        <v>330</v>
      </c>
    </row>
    <row r="125" spans="1:12" x14ac:dyDescent="0.25">
      <c r="A125" s="57" t="s">
        <v>1762</v>
      </c>
      <c r="B125" s="58" t="s">
        <v>187</v>
      </c>
      <c r="C125" s="58"/>
      <c r="D125" s="58" t="s">
        <v>332</v>
      </c>
      <c r="E125" s="58" t="s">
        <v>1761</v>
      </c>
      <c r="F125" s="58"/>
      <c r="G125" s="58">
        <v>0</v>
      </c>
      <c r="H125" s="59">
        <v>40122040.189999998</v>
      </c>
      <c r="I125" s="60">
        <v>0</v>
      </c>
      <c r="J125" s="59">
        <v>40122040.189999998</v>
      </c>
      <c r="K125" s="61" t="s">
        <v>330</v>
      </c>
      <c r="L125" s="62" t="s">
        <v>330</v>
      </c>
    </row>
    <row r="126" spans="1:12" x14ac:dyDescent="0.25">
      <c r="A126" s="57" t="s">
        <v>1760</v>
      </c>
      <c r="B126" s="58" t="s">
        <v>187</v>
      </c>
      <c r="C126" s="58"/>
      <c r="D126" s="58" t="s">
        <v>332</v>
      </c>
      <c r="E126" s="58" t="s">
        <v>1759</v>
      </c>
      <c r="F126" s="58" t="s">
        <v>337</v>
      </c>
      <c r="G126" s="58">
        <v>0</v>
      </c>
      <c r="H126" s="59">
        <v>44974201.240000002</v>
      </c>
      <c r="I126" s="60">
        <v>0</v>
      </c>
      <c r="J126" s="59">
        <v>44974201.240000002</v>
      </c>
      <c r="K126" s="61" t="s">
        <v>330</v>
      </c>
      <c r="L126" s="62" t="s">
        <v>330</v>
      </c>
    </row>
    <row r="127" spans="1:12" x14ac:dyDescent="0.25">
      <c r="A127" s="57" t="s">
        <v>1758</v>
      </c>
      <c r="B127" s="58" t="s">
        <v>187</v>
      </c>
      <c r="C127" s="58"/>
      <c r="D127" s="58" t="s">
        <v>332</v>
      </c>
      <c r="E127" s="58" t="s">
        <v>1757</v>
      </c>
      <c r="F127" s="58" t="s">
        <v>337</v>
      </c>
      <c r="G127" s="58">
        <v>0</v>
      </c>
      <c r="H127" s="59">
        <v>57232461.149999999</v>
      </c>
      <c r="I127" s="60">
        <v>0</v>
      </c>
      <c r="J127" s="59">
        <v>57232461.149999999</v>
      </c>
      <c r="K127" s="61" t="s">
        <v>330</v>
      </c>
      <c r="L127" s="62" t="s">
        <v>330</v>
      </c>
    </row>
    <row r="128" spans="1:12" x14ac:dyDescent="0.25">
      <c r="A128" s="57" t="s">
        <v>1756</v>
      </c>
      <c r="B128" s="58" t="s">
        <v>187</v>
      </c>
      <c r="C128" s="58"/>
      <c r="D128" s="58" t="s">
        <v>339</v>
      </c>
      <c r="E128" s="58" t="s">
        <v>1755</v>
      </c>
      <c r="F128" s="58" t="s">
        <v>337</v>
      </c>
      <c r="G128" s="58">
        <v>0</v>
      </c>
      <c r="H128" s="59">
        <v>66015659.609999999</v>
      </c>
      <c r="I128" s="60">
        <v>0</v>
      </c>
      <c r="J128" s="59">
        <v>66015659.609999999</v>
      </c>
      <c r="K128" s="61" t="s">
        <v>330</v>
      </c>
      <c r="L128" s="62" t="s">
        <v>330</v>
      </c>
    </row>
    <row r="129" spans="1:12" x14ac:dyDescent="0.25">
      <c r="A129" s="57" t="s">
        <v>1754</v>
      </c>
      <c r="B129" s="58" t="s">
        <v>187</v>
      </c>
      <c r="C129" s="58"/>
      <c r="D129" s="58" t="s">
        <v>332</v>
      </c>
      <c r="E129" s="58" t="s">
        <v>1753</v>
      </c>
      <c r="F129" s="58" t="s">
        <v>337</v>
      </c>
      <c r="G129" s="58">
        <v>0</v>
      </c>
      <c r="H129" s="59">
        <v>77550399.299999997</v>
      </c>
      <c r="I129" s="60">
        <v>0</v>
      </c>
      <c r="J129" s="59">
        <v>77550399.299999997</v>
      </c>
      <c r="K129" s="61" t="s">
        <v>330</v>
      </c>
      <c r="L129" s="62" t="s">
        <v>330</v>
      </c>
    </row>
    <row r="130" spans="1:12" x14ac:dyDescent="0.25">
      <c r="A130" s="57" t="s">
        <v>1752</v>
      </c>
      <c r="B130" s="58" t="s">
        <v>187</v>
      </c>
      <c r="C130" s="58"/>
      <c r="D130" s="58" t="s">
        <v>332</v>
      </c>
      <c r="E130" s="58" t="s">
        <v>1751</v>
      </c>
      <c r="F130" s="58" t="s">
        <v>337</v>
      </c>
      <c r="G130" s="58">
        <v>0</v>
      </c>
      <c r="H130" s="59">
        <v>93413439.420000002</v>
      </c>
      <c r="I130" s="60">
        <v>0</v>
      </c>
      <c r="J130" s="59">
        <v>93413439.420000002</v>
      </c>
      <c r="K130" s="61" t="s">
        <v>330</v>
      </c>
      <c r="L130" s="62" t="s">
        <v>330</v>
      </c>
    </row>
    <row r="131" spans="1:12" x14ac:dyDescent="0.25">
      <c r="A131" s="57" t="s">
        <v>1750</v>
      </c>
      <c r="B131" s="58" t="s">
        <v>1742</v>
      </c>
      <c r="C131" s="58"/>
      <c r="D131" s="58" t="s">
        <v>332</v>
      </c>
      <c r="E131" s="58" t="s">
        <v>1748</v>
      </c>
      <c r="F131" s="58" t="s">
        <v>337</v>
      </c>
      <c r="G131" s="58">
        <v>0</v>
      </c>
      <c r="H131" s="59">
        <v>0</v>
      </c>
      <c r="I131" s="60">
        <v>0</v>
      </c>
      <c r="J131" s="59">
        <v>0</v>
      </c>
      <c r="K131" s="61" t="s">
        <v>330</v>
      </c>
      <c r="L131" s="62" t="s">
        <v>330</v>
      </c>
    </row>
    <row r="132" spans="1:12" x14ac:dyDescent="0.25">
      <c r="A132" s="57" t="s">
        <v>1749</v>
      </c>
      <c r="B132" s="58" t="s">
        <v>1742</v>
      </c>
      <c r="C132" s="58"/>
      <c r="D132" s="58" t="s">
        <v>332</v>
      </c>
      <c r="E132" s="58" t="s">
        <v>1748</v>
      </c>
      <c r="F132" s="58" t="s">
        <v>337</v>
      </c>
      <c r="G132" s="58">
        <v>0</v>
      </c>
      <c r="H132" s="59">
        <v>0</v>
      </c>
      <c r="I132" s="60">
        <v>0</v>
      </c>
      <c r="J132" s="59">
        <v>0</v>
      </c>
      <c r="K132" s="61" t="s">
        <v>330</v>
      </c>
      <c r="L132" s="62" t="s">
        <v>330</v>
      </c>
    </row>
    <row r="133" spans="1:12" x14ac:dyDescent="0.25">
      <c r="A133" s="57" t="s">
        <v>1747</v>
      </c>
      <c r="B133" s="58" t="s">
        <v>1742</v>
      </c>
      <c r="C133" s="58"/>
      <c r="D133" s="58" t="s">
        <v>332</v>
      </c>
      <c r="E133" s="58" t="s">
        <v>1746</v>
      </c>
      <c r="F133" s="58" t="s">
        <v>337</v>
      </c>
      <c r="G133" s="65" t="s">
        <v>330</v>
      </c>
      <c r="H133" s="59">
        <v>0</v>
      </c>
      <c r="I133" s="60">
        <v>0</v>
      </c>
      <c r="J133" s="59">
        <v>0</v>
      </c>
      <c r="K133" s="61" t="s">
        <v>330</v>
      </c>
      <c r="L133" s="62" t="s">
        <v>330</v>
      </c>
    </row>
    <row r="134" spans="1:12" x14ac:dyDescent="0.25">
      <c r="A134" s="57" t="s">
        <v>1745</v>
      </c>
      <c r="B134" s="58" t="s">
        <v>1742</v>
      </c>
      <c r="C134" s="58"/>
      <c r="D134" s="58" t="s">
        <v>332</v>
      </c>
      <c r="E134" s="58" t="s">
        <v>1744</v>
      </c>
      <c r="F134" s="58"/>
      <c r="G134" s="58">
        <v>0</v>
      </c>
      <c r="H134" s="59">
        <v>2595521.42</v>
      </c>
      <c r="I134" s="60">
        <v>0</v>
      </c>
      <c r="J134" s="59">
        <v>2595521.42</v>
      </c>
      <c r="K134" s="61" t="s">
        <v>330</v>
      </c>
      <c r="L134" s="62" t="s">
        <v>330</v>
      </c>
    </row>
    <row r="135" spans="1:12" x14ac:dyDescent="0.25">
      <c r="A135" s="57" t="s">
        <v>1743</v>
      </c>
      <c r="B135" s="58" t="s">
        <v>1742</v>
      </c>
      <c r="C135" s="58"/>
      <c r="D135" s="58" t="s">
        <v>367</v>
      </c>
      <c r="E135" s="58" t="s">
        <v>1741</v>
      </c>
      <c r="F135" s="58" t="s">
        <v>337</v>
      </c>
      <c r="G135" s="58">
        <v>0</v>
      </c>
      <c r="H135" s="59">
        <v>4233733.42</v>
      </c>
      <c r="I135" s="60">
        <v>0</v>
      </c>
      <c r="J135" s="59">
        <v>4233733.42</v>
      </c>
      <c r="K135" s="61" t="s">
        <v>330</v>
      </c>
      <c r="L135" s="62" t="s">
        <v>330</v>
      </c>
    </row>
    <row r="136" spans="1:12" x14ac:dyDescent="0.25">
      <c r="A136" s="57" t="s">
        <v>1740</v>
      </c>
      <c r="B136" s="58" t="s">
        <v>1735</v>
      </c>
      <c r="C136" s="58" t="s">
        <v>1739</v>
      </c>
      <c r="D136" s="58" t="s">
        <v>440</v>
      </c>
      <c r="E136" s="58" t="s">
        <v>1738</v>
      </c>
      <c r="F136" s="58" t="s">
        <v>1737</v>
      </c>
      <c r="G136" s="58">
        <v>0</v>
      </c>
      <c r="H136" s="59">
        <v>10993303.07</v>
      </c>
      <c r="I136" s="60">
        <v>0</v>
      </c>
      <c r="J136" s="59">
        <v>10993303.07</v>
      </c>
      <c r="K136" s="61" t="s">
        <v>330</v>
      </c>
      <c r="L136" s="62" t="s">
        <v>330</v>
      </c>
    </row>
    <row r="137" spans="1:12" x14ac:dyDescent="0.25">
      <c r="A137" s="57" t="s">
        <v>1736</v>
      </c>
      <c r="B137" s="58" t="s">
        <v>1735</v>
      </c>
      <c r="C137" s="58"/>
      <c r="D137" s="58" t="s">
        <v>332</v>
      </c>
      <c r="E137" s="58" t="s">
        <v>1734</v>
      </c>
      <c r="F137" s="58" t="s">
        <v>337</v>
      </c>
      <c r="G137" s="58">
        <v>0</v>
      </c>
      <c r="H137" s="59">
        <v>35996787.5</v>
      </c>
      <c r="I137" s="60">
        <v>0</v>
      </c>
      <c r="J137" s="59">
        <v>35996787.5</v>
      </c>
      <c r="K137" s="61" t="s">
        <v>330</v>
      </c>
      <c r="L137" s="62" t="s">
        <v>330</v>
      </c>
    </row>
    <row r="138" spans="1:12" x14ac:dyDescent="0.25">
      <c r="A138" s="57" t="s">
        <v>156</v>
      </c>
      <c r="B138" s="58" t="s">
        <v>173</v>
      </c>
      <c r="C138" s="58" t="s">
        <v>1471</v>
      </c>
      <c r="D138" s="58" t="s">
        <v>355</v>
      </c>
      <c r="E138" s="58" t="s">
        <v>1733</v>
      </c>
      <c r="F138" s="58" t="s">
        <v>1732</v>
      </c>
      <c r="G138" s="58">
        <v>0.99219999999999997</v>
      </c>
      <c r="H138" s="59">
        <v>5361446.28</v>
      </c>
      <c r="I138" s="60">
        <v>5319761.7</v>
      </c>
      <c r="J138" s="59">
        <v>41684.580000000075</v>
      </c>
      <c r="K138" s="63">
        <v>44637</v>
      </c>
      <c r="L138" s="64">
        <v>45484</v>
      </c>
    </row>
    <row r="139" spans="1:12" x14ac:dyDescent="0.25">
      <c r="A139" s="57" t="s">
        <v>172</v>
      </c>
      <c r="B139" s="58" t="s">
        <v>173</v>
      </c>
      <c r="C139" s="58" t="s">
        <v>1731</v>
      </c>
      <c r="D139" s="58" t="s">
        <v>7</v>
      </c>
      <c r="E139" s="58" t="s">
        <v>1730</v>
      </c>
      <c r="F139" s="58" t="s">
        <v>1729</v>
      </c>
      <c r="G139" s="58">
        <v>0.87860000000000005</v>
      </c>
      <c r="H139" s="59">
        <v>2601911.3199999998</v>
      </c>
      <c r="I139" s="60">
        <v>2286080.42</v>
      </c>
      <c r="J139" s="59">
        <v>315830.89999999991</v>
      </c>
      <c r="K139" s="63">
        <v>45624</v>
      </c>
      <c r="L139" s="64">
        <v>46106</v>
      </c>
    </row>
    <row r="140" spans="1:12" x14ac:dyDescent="0.25">
      <c r="A140" s="57" t="s">
        <v>1728</v>
      </c>
      <c r="B140" s="58" t="s">
        <v>173</v>
      </c>
      <c r="C140" s="58"/>
      <c r="D140" s="58" t="s">
        <v>332</v>
      </c>
      <c r="E140" s="58" t="s">
        <v>1727</v>
      </c>
      <c r="F140" s="58" t="s">
        <v>337</v>
      </c>
      <c r="G140" s="58">
        <v>0</v>
      </c>
      <c r="H140" s="59">
        <v>957495.6</v>
      </c>
      <c r="I140" s="60">
        <v>0</v>
      </c>
      <c r="J140" s="59">
        <v>957495.6</v>
      </c>
      <c r="K140" s="61" t="s">
        <v>330</v>
      </c>
      <c r="L140" s="62" t="s">
        <v>330</v>
      </c>
    </row>
    <row r="141" spans="1:12" x14ac:dyDescent="0.25">
      <c r="A141" s="57" t="s">
        <v>1726</v>
      </c>
      <c r="B141" s="58" t="s">
        <v>173</v>
      </c>
      <c r="C141" s="58" t="s">
        <v>1038</v>
      </c>
      <c r="D141" s="58" t="s">
        <v>426</v>
      </c>
      <c r="E141" s="58" t="s">
        <v>1725</v>
      </c>
      <c r="F141" s="58" t="s">
        <v>1724</v>
      </c>
      <c r="G141" s="58">
        <v>0.1104</v>
      </c>
      <c r="H141" s="59">
        <v>2394811.9500000002</v>
      </c>
      <c r="I141" s="60">
        <v>264324.59999999998</v>
      </c>
      <c r="J141" s="59">
        <v>2130487.35</v>
      </c>
      <c r="K141" s="63">
        <v>44840</v>
      </c>
      <c r="L141" s="64">
        <v>45390</v>
      </c>
    </row>
    <row r="142" spans="1:12" x14ac:dyDescent="0.25">
      <c r="A142" s="57" t="s">
        <v>1723</v>
      </c>
      <c r="B142" s="58" t="s">
        <v>1718</v>
      </c>
      <c r="C142" s="58" t="s">
        <v>1722</v>
      </c>
      <c r="D142" s="58" t="s">
        <v>355</v>
      </c>
      <c r="E142" s="58" t="s">
        <v>1721</v>
      </c>
      <c r="F142" s="58" t="s">
        <v>1720</v>
      </c>
      <c r="G142" s="58">
        <v>0.9998999999999999</v>
      </c>
      <c r="H142" s="59">
        <v>2975474.34</v>
      </c>
      <c r="I142" s="60">
        <v>2975297.32</v>
      </c>
      <c r="J142" s="59">
        <v>177.02000000001863</v>
      </c>
      <c r="K142" s="63">
        <v>44883</v>
      </c>
      <c r="L142" s="64">
        <v>45411</v>
      </c>
    </row>
    <row r="143" spans="1:12" x14ac:dyDescent="0.25">
      <c r="A143" s="57" t="s">
        <v>1719</v>
      </c>
      <c r="B143" s="58" t="s">
        <v>1718</v>
      </c>
      <c r="C143" s="58"/>
      <c r="D143" s="58" t="s">
        <v>332</v>
      </c>
      <c r="E143" s="58" t="s">
        <v>1717</v>
      </c>
      <c r="F143" s="58" t="s">
        <v>337</v>
      </c>
      <c r="G143" s="58">
        <v>0</v>
      </c>
      <c r="H143" s="59">
        <v>2798876.87</v>
      </c>
      <c r="I143" s="60">
        <v>0</v>
      </c>
      <c r="J143" s="59">
        <v>2798876.87</v>
      </c>
      <c r="K143" s="61" t="s">
        <v>330</v>
      </c>
      <c r="L143" s="62" t="s">
        <v>330</v>
      </c>
    </row>
    <row r="144" spans="1:12" x14ac:dyDescent="0.25">
      <c r="A144" s="57" t="s">
        <v>1716</v>
      </c>
      <c r="B144" s="58" t="s">
        <v>182</v>
      </c>
      <c r="C144" s="58" t="s">
        <v>389</v>
      </c>
      <c r="D144" s="58" t="s">
        <v>355</v>
      </c>
      <c r="E144" s="58" t="s">
        <v>1715</v>
      </c>
      <c r="F144" s="58" t="s">
        <v>1714</v>
      </c>
      <c r="G144" s="58">
        <v>1</v>
      </c>
      <c r="H144" s="59">
        <v>4808707.09</v>
      </c>
      <c r="I144" s="60">
        <v>4808707.09</v>
      </c>
      <c r="J144" s="59">
        <v>0</v>
      </c>
      <c r="K144" s="63">
        <v>44743</v>
      </c>
      <c r="L144" s="64">
        <v>45341</v>
      </c>
    </row>
    <row r="145" spans="1:12" x14ac:dyDescent="0.25">
      <c r="A145" s="57" t="s">
        <v>1713</v>
      </c>
      <c r="B145" s="58" t="s">
        <v>182</v>
      </c>
      <c r="C145" s="58"/>
      <c r="D145" s="58" t="s">
        <v>332</v>
      </c>
      <c r="E145" s="58" t="s">
        <v>1712</v>
      </c>
      <c r="F145" s="58" t="s">
        <v>337</v>
      </c>
      <c r="G145" s="58">
        <v>0</v>
      </c>
      <c r="H145" s="59">
        <v>0</v>
      </c>
      <c r="I145" s="60">
        <v>0</v>
      </c>
      <c r="J145" s="59">
        <v>0</v>
      </c>
      <c r="K145" s="61" t="s">
        <v>330</v>
      </c>
      <c r="L145" s="62" t="s">
        <v>330</v>
      </c>
    </row>
    <row r="146" spans="1:12" x14ac:dyDescent="0.25">
      <c r="A146" s="57" t="s">
        <v>181</v>
      </c>
      <c r="B146" s="58" t="s">
        <v>182</v>
      </c>
      <c r="C146" s="58" t="s">
        <v>1711</v>
      </c>
      <c r="D146" s="58" t="s">
        <v>355</v>
      </c>
      <c r="E146" s="58" t="s">
        <v>1710</v>
      </c>
      <c r="F146" s="58" t="s">
        <v>424</v>
      </c>
      <c r="G146" s="58">
        <v>0.91099999999999992</v>
      </c>
      <c r="H146" s="59">
        <v>13208831.359999999</v>
      </c>
      <c r="I146" s="60">
        <v>12032786.93</v>
      </c>
      <c r="J146" s="59">
        <v>1176044.4299999997</v>
      </c>
      <c r="K146" s="63">
        <v>44708</v>
      </c>
      <c r="L146" s="64">
        <v>45398</v>
      </c>
    </row>
    <row r="147" spans="1:12" x14ac:dyDescent="0.25">
      <c r="A147" s="57" t="s">
        <v>1709</v>
      </c>
      <c r="B147" s="58" t="s">
        <v>182</v>
      </c>
      <c r="C147" s="58"/>
      <c r="D147" s="58" t="s">
        <v>332</v>
      </c>
      <c r="E147" s="58" t="s">
        <v>1708</v>
      </c>
      <c r="F147" s="58" t="s">
        <v>337</v>
      </c>
      <c r="G147" s="58">
        <v>0</v>
      </c>
      <c r="H147" s="59">
        <v>1483637.28</v>
      </c>
      <c r="I147" s="60">
        <v>0</v>
      </c>
      <c r="J147" s="59">
        <v>1483637.28</v>
      </c>
      <c r="K147" s="61" t="s">
        <v>330</v>
      </c>
      <c r="L147" s="62" t="s">
        <v>330</v>
      </c>
    </row>
    <row r="148" spans="1:12" x14ac:dyDescent="0.25">
      <c r="A148" s="57" t="s">
        <v>1707</v>
      </c>
      <c r="B148" s="58" t="s">
        <v>182</v>
      </c>
      <c r="C148" s="58"/>
      <c r="D148" s="58" t="s">
        <v>332</v>
      </c>
      <c r="E148" s="58" t="s">
        <v>1706</v>
      </c>
      <c r="F148" s="58" t="s">
        <v>337</v>
      </c>
      <c r="G148" s="58">
        <v>0</v>
      </c>
      <c r="H148" s="59">
        <v>6181077.8200000003</v>
      </c>
      <c r="I148" s="60">
        <v>0</v>
      </c>
      <c r="J148" s="59">
        <v>6181077.8200000003</v>
      </c>
      <c r="K148" s="61" t="s">
        <v>330</v>
      </c>
      <c r="L148" s="62" t="s">
        <v>330</v>
      </c>
    </row>
    <row r="149" spans="1:12" x14ac:dyDescent="0.25">
      <c r="A149" s="57" t="s">
        <v>1705</v>
      </c>
      <c r="B149" s="58" t="s">
        <v>182</v>
      </c>
      <c r="C149" s="58"/>
      <c r="D149" s="58" t="s">
        <v>396</v>
      </c>
      <c r="E149" s="58" t="s">
        <v>1704</v>
      </c>
      <c r="F149" s="58" t="s">
        <v>337</v>
      </c>
      <c r="G149" s="58">
        <v>0</v>
      </c>
      <c r="H149" s="59">
        <v>72215791.719999999</v>
      </c>
      <c r="I149" s="60">
        <v>0</v>
      </c>
      <c r="J149" s="59">
        <v>72215791.719999999</v>
      </c>
      <c r="K149" s="61" t="s">
        <v>330</v>
      </c>
      <c r="L149" s="62" t="s">
        <v>330</v>
      </c>
    </row>
    <row r="150" spans="1:12" x14ac:dyDescent="0.25">
      <c r="A150" s="57" t="s">
        <v>233</v>
      </c>
      <c r="B150" s="58" t="s">
        <v>1689</v>
      </c>
      <c r="C150" s="58" t="s">
        <v>1161</v>
      </c>
      <c r="D150" s="58" t="s">
        <v>355</v>
      </c>
      <c r="E150" s="58" t="s">
        <v>1703</v>
      </c>
      <c r="F150" s="58" t="s">
        <v>1702</v>
      </c>
      <c r="G150" s="58">
        <v>1</v>
      </c>
      <c r="H150" s="59">
        <v>11551184.439999999</v>
      </c>
      <c r="I150" s="60">
        <v>11551184.4</v>
      </c>
      <c r="J150" s="59">
        <v>3.9999999105930328E-2</v>
      </c>
      <c r="K150" s="63">
        <v>44733</v>
      </c>
      <c r="L150" s="64">
        <v>45953</v>
      </c>
    </row>
    <row r="151" spans="1:12" x14ac:dyDescent="0.25">
      <c r="A151" s="57" t="s">
        <v>220</v>
      </c>
      <c r="B151" s="58" t="s">
        <v>1689</v>
      </c>
      <c r="C151" s="58" t="s">
        <v>691</v>
      </c>
      <c r="D151" s="58" t="s">
        <v>355</v>
      </c>
      <c r="E151" s="58" t="s">
        <v>1701</v>
      </c>
      <c r="F151" s="58" t="s">
        <v>392</v>
      </c>
      <c r="G151" s="58">
        <v>0.99080000000000001</v>
      </c>
      <c r="H151" s="59">
        <v>9751616.3699999992</v>
      </c>
      <c r="I151" s="60">
        <v>9661616.3699999992</v>
      </c>
      <c r="J151" s="59">
        <v>90000</v>
      </c>
      <c r="K151" s="63">
        <v>44873</v>
      </c>
      <c r="L151" s="64">
        <v>45485</v>
      </c>
    </row>
    <row r="152" spans="1:12" x14ac:dyDescent="0.25">
      <c r="A152" s="57" t="s">
        <v>1700</v>
      </c>
      <c r="B152" s="58" t="s">
        <v>1689</v>
      </c>
      <c r="C152" s="58"/>
      <c r="D152" s="58" t="s">
        <v>339</v>
      </c>
      <c r="E152" s="58" t="s">
        <v>1699</v>
      </c>
      <c r="F152" s="58" t="s">
        <v>337</v>
      </c>
      <c r="G152" s="65" t="s">
        <v>330</v>
      </c>
      <c r="H152" s="59">
        <v>2373617.58</v>
      </c>
      <c r="I152" s="60">
        <v>0</v>
      </c>
      <c r="J152" s="59">
        <v>2373617.58</v>
      </c>
      <c r="K152" s="61" t="s">
        <v>330</v>
      </c>
      <c r="L152" s="62" t="s">
        <v>330</v>
      </c>
    </row>
    <row r="153" spans="1:12" x14ac:dyDescent="0.25">
      <c r="A153" s="57" t="s">
        <v>1698</v>
      </c>
      <c r="B153" s="58" t="s">
        <v>1689</v>
      </c>
      <c r="C153" s="58"/>
      <c r="D153" s="58" t="s">
        <v>332</v>
      </c>
      <c r="E153" s="58" t="s">
        <v>1697</v>
      </c>
      <c r="F153" s="58"/>
      <c r="G153" s="58">
        <v>0</v>
      </c>
      <c r="H153" s="59">
        <v>7967887.29</v>
      </c>
      <c r="I153" s="60">
        <v>0</v>
      </c>
      <c r="J153" s="59">
        <v>7967887.29</v>
      </c>
      <c r="K153" s="61" t="s">
        <v>330</v>
      </c>
      <c r="L153" s="62" t="s">
        <v>330</v>
      </c>
    </row>
    <row r="154" spans="1:12" x14ac:dyDescent="0.25">
      <c r="A154" s="57" t="s">
        <v>1696</v>
      </c>
      <c r="B154" s="58" t="s">
        <v>1689</v>
      </c>
      <c r="C154" s="58"/>
      <c r="D154" s="58" t="s">
        <v>332</v>
      </c>
      <c r="E154" s="58" t="s">
        <v>1695</v>
      </c>
      <c r="F154" s="58" t="s">
        <v>337</v>
      </c>
      <c r="G154" s="58">
        <v>0</v>
      </c>
      <c r="H154" s="59">
        <v>8154289.75</v>
      </c>
      <c r="I154" s="60">
        <v>0</v>
      </c>
      <c r="J154" s="59">
        <v>8154289.75</v>
      </c>
      <c r="K154" s="61" t="s">
        <v>330</v>
      </c>
      <c r="L154" s="62" t="s">
        <v>330</v>
      </c>
    </row>
    <row r="155" spans="1:12" x14ac:dyDescent="0.25">
      <c r="A155" s="57" t="s">
        <v>1694</v>
      </c>
      <c r="B155" s="58" t="s">
        <v>1689</v>
      </c>
      <c r="C155" s="58"/>
      <c r="D155" s="58" t="s">
        <v>339</v>
      </c>
      <c r="E155" s="58" t="s">
        <v>1693</v>
      </c>
      <c r="F155" s="58" t="s">
        <v>337</v>
      </c>
      <c r="G155" s="58">
        <v>0</v>
      </c>
      <c r="H155" s="59">
        <v>10186522.42</v>
      </c>
      <c r="I155" s="60">
        <v>0</v>
      </c>
      <c r="J155" s="59">
        <v>10186522.42</v>
      </c>
      <c r="K155" s="61" t="s">
        <v>330</v>
      </c>
      <c r="L155" s="62" t="s">
        <v>330</v>
      </c>
    </row>
    <row r="156" spans="1:12" x14ac:dyDescent="0.25">
      <c r="A156" s="57" t="s">
        <v>1692</v>
      </c>
      <c r="B156" s="58" t="s">
        <v>1689</v>
      </c>
      <c r="C156" s="58"/>
      <c r="D156" s="58" t="s">
        <v>339</v>
      </c>
      <c r="E156" s="58" t="s">
        <v>1691</v>
      </c>
      <c r="F156" s="58" t="s">
        <v>337</v>
      </c>
      <c r="G156" s="58">
        <v>0</v>
      </c>
      <c r="H156" s="59">
        <v>11940465.82</v>
      </c>
      <c r="I156" s="60">
        <v>0</v>
      </c>
      <c r="J156" s="59">
        <v>11940465.82</v>
      </c>
      <c r="K156" s="61" t="s">
        <v>330</v>
      </c>
      <c r="L156" s="62" t="s">
        <v>330</v>
      </c>
    </row>
    <row r="157" spans="1:12" x14ac:dyDescent="0.25">
      <c r="A157" s="57" t="s">
        <v>1690</v>
      </c>
      <c r="B157" s="58" t="s">
        <v>1689</v>
      </c>
      <c r="C157" s="58"/>
      <c r="D157" s="58" t="s">
        <v>339</v>
      </c>
      <c r="E157" s="58" t="s">
        <v>1688</v>
      </c>
      <c r="F157" s="58" t="s">
        <v>337</v>
      </c>
      <c r="G157" s="58">
        <v>0</v>
      </c>
      <c r="H157" s="59">
        <v>29232092.5</v>
      </c>
      <c r="I157" s="60">
        <v>0</v>
      </c>
      <c r="J157" s="59">
        <v>29232092.5</v>
      </c>
      <c r="K157" s="61" t="s">
        <v>330</v>
      </c>
      <c r="L157" s="62" t="s">
        <v>330</v>
      </c>
    </row>
    <row r="158" spans="1:12" x14ac:dyDescent="0.25">
      <c r="A158" s="57" t="s">
        <v>1687</v>
      </c>
      <c r="B158" s="58" t="s">
        <v>160</v>
      </c>
      <c r="C158" s="58"/>
      <c r="D158" s="58" t="s">
        <v>339</v>
      </c>
      <c r="E158" s="58" t="s">
        <v>1686</v>
      </c>
      <c r="F158" s="58" t="s">
        <v>337</v>
      </c>
      <c r="G158" s="58">
        <v>0</v>
      </c>
      <c r="H158" s="59">
        <v>1098378.24</v>
      </c>
      <c r="I158" s="60">
        <v>0</v>
      </c>
      <c r="J158" s="59">
        <v>1098378.24</v>
      </c>
      <c r="K158" s="61" t="s">
        <v>330</v>
      </c>
      <c r="L158" s="62" t="s">
        <v>330</v>
      </c>
    </row>
    <row r="159" spans="1:12" x14ac:dyDescent="0.25">
      <c r="A159" s="57" t="s">
        <v>1685</v>
      </c>
      <c r="B159" s="58" t="s">
        <v>160</v>
      </c>
      <c r="C159" s="58"/>
      <c r="D159" s="58" t="s">
        <v>332</v>
      </c>
      <c r="E159" s="58" t="s">
        <v>1684</v>
      </c>
      <c r="F159" s="58" t="s">
        <v>337</v>
      </c>
      <c r="G159" s="58">
        <v>0</v>
      </c>
      <c r="H159" s="59">
        <v>2165480.08</v>
      </c>
      <c r="I159" s="60">
        <v>0</v>
      </c>
      <c r="J159" s="59">
        <v>2165480.08</v>
      </c>
      <c r="K159" s="61" t="s">
        <v>330</v>
      </c>
      <c r="L159" s="62" t="s">
        <v>330</v>
      </c>
    </row>
    <row r="160" spans="1:12" x14ac:dyDescent="0.25">
      <c r="A160" s="57" t="s">
        <v>159</v>
      </c>
      <c r="B160" s="58" t="s">
        <v>160</v>
      </c>
      <c r="C160" s="58" t="s">
        <v>1683</v>
      </c>
      <c r="D160" s="58" t="s">
        <v>7</v>
      </c>
      <c r="E160" s="58" t="s">
        <v>1682</v>
      </c>
      <c r="F160" s="58" t="s">
        <v>696</v>
      </c>
      <c r="G160" s="58">
        <v>0.5958</v>
      </c>
      <c r="H160" s="59">
        <v>6016602.4800000004</v>
      </c>
      <c r="I160" s="60">
        <v>3584685.32</v>
      </c>
      <c r="J160" s="59">
        <v>2431917.1600000006</v>
      </c>
      <c r="K160" s="63">
        <v>45133</v>
      </c>
      <c r="L160" s="64">
        <v>46128</v>
      </c>
    </row>
    <row r="161" spans="1:12" x14ac:dyDescent="0.25">
      <c r="A161" s="57" t="s">
        <v>1681</v>
      </c>
      <c r="B161" s="58" t="s">
        <v>160</v>
      </c>
      <c r="C161" s="58"/>
      <c r="D161" s="58" t="s">
        <v>367</v>
      </c>
      <c r="E161" s="58" t="s">
        <v>1680</v>
      </c>
      <c r="F161" s="58"/>
      <c r="G161" s="58">
        <v>0</v>
      </c>
      <c r="H161" s="59">
        <v>4603687.3899999997</v>
      </c>
      <c r="I161" s="60">
        <v>0</v>
      </c>
      <c r="J161" s="59">
        <v>4603687.3899999997</v>
      </c>
      <c r="K161" s="61" t="s">
        <v>330</v>
      </c>
      <c r="L161" s="62" t="s">
        <v>330</v>
      </c>
    </row>
    <row r="162" spans="1:12" x14ac:dyDescent="0.25">
      <c r="A162" s="57" t="s">
        <v>1679</v>
      </c>
      <c r="B162" s="58" t="s">
        <v>160</v>
      </c>
      <c r="C162" s="58"/>
      <c r="D162" s="58" t="s">
        <v>339</v>
      </c>
      <c r="E162" s="58" t="s">
        <v>1678</v>
      </c>
      <c r="F162" s="58" t="s">
        <v>337</v>
      </c>
      <c r="G162" s="58">
        <v>0</v>
      </c>
      <c r="H162" s="59">
        <v>6503938.8099999996</v>
      </c>
      <c r="I162" s="60">
        <v>0</v>
      </c>
      <c r="J162" s="59">
        <v>6503938.8099999996</v>
      </c>
      <c r="K162" s="61" t="s">
        <v>330</v>
      </c>
      <c r="L162" s="62" t="s">
        <v>330</v>
      </c>
    </row>
    <row r="163" spans="1:12" x14ac:dyDescent="0.25">
      <c r="A163" s="57" t="s">
        <v>1677</v>
      </c>
      <c r="B163" s="58" t="s">
        <v>1668</v>
      </c>
      <c r="C163" s="58"/>
      <c r="D163" s="58" t="s">
        <v>332</v>
      </c>
      <c r="E163" s="58" t="s">
        <v>1676</v>
      </c>
      <c r="F163" s="58" t="s">
        <v>337</v>
      </c>
      <c r="G163" s="58">
        <v>0</v>
      </c>
      <c r="H163" s="59">
        <v>1346388.51</v>
      </c>
      <c r="I163" s="60">
        <v>0</v>
      </c>
      <c r="J163" s="59">
        <v>1346388.51</v>
      </c>
      <c r="K163" s="61" t="s">
        <v>330</v>
      </c>
      <c r="L163" s="62" t="s">
        <v>330</v>
      </c>
    </row>
    <row r="164" spans="1:12" x14ac:dyDescent="0.25">
      <c r="A164" s="57" t="s">
        <v>1675</v>
      </c>
      <c r="B164" s="58" t="s">
        <v>1668</v>
      </c>
      <c r="C164" s="58"/>
      <c r="D164" s="58" t="s">
        <v>332</v>
      </c>
      <c r="E164" s="58" t="s">
        <v>1674</v>
      </c>
      <c r="F164" s="58" t="s">
        <v>337</v>
      </c>
      <c r="G164" s="58">
        <v>0</v>
      </c>
      <c r="H164" s="59">
        <v>2869414.65</v>
      </c>
      <c r="I164" s="60">
        <v>0</v>
      </c>
      <c r="J164" s="59">
        <v>2869414.65</v>
      </c>
      <c r="K164" s="61" t="s">
        <v>330</v>
      </c>
      <c r="L164" s="62" t="s">
        <v>330</v>
      </c>
    </row>
    <row r="165" spans="1:12" x14ac:dyDescent="0.25">
      <c r="A165" s="57" t="s">
        <v>1673</v>
      </c>
      <c r="B165" s="58" t="s">
        <v>1668</v>
      </c>
      <c r="C165" s="58"/>
      <c r="D165" s="58" t="s">
        <v>367</v>
      </c>
      <c r="E165" s="58" t="s">
        <v>1672</v>
      </c>
      <c r="F165" s="58"/>
      <c r="G165" s="58">
        <v>0</v>
      </c>
      <c r="H165" s="59">
        <v>3669366.65</v>
      </c>
      <c r="I165" s="60">
        <v>0</v>
      </c>
      <c r="J165" s="59">
        <v>3669366.65</v>
      </c>
      <c r="K165" s="61" t="s">
        <v>330</v>
      </c>
      <c r="L165" s="62" t="s">
        <v>330</v>
      </c>
    </row>
    <row r="166" spans="1:12" x14ac:dyDescent="0.25">
      <c r="A166" s="57" t="s">
        <v>1671</v>
      </c>
      <c r="B166" s="58" t="s">
        <v>1668</v>
      </c>
      <c r="C166" s="58"/>
      <c r="D166" s="58" t="s">
        <v>339</v>
      </c>
      <c r="E166" s="58" t="s">
        <v>1670</v>
      </c>
      <c r="F166" s="58" t="s">
        <v>337</v>
      </c>
      <c r="G166" s="58">
        <v>0</v>
      </c>
      <c r="H166" s="59">
        <v>4219131.91</v>
      </c>
      <c r="I166" s="60">
        <v>0</v>
      </c>
      <c r="J166" s="59">
        <v>4219131.91</v>
      </c>
      <c r="K166" s="61" t="s">
        <v>330</v>
      </c>
      <c r="L166" s="62" t="s">
        <v>330</v>
      </c>
    </row>
    <row r="167" spans="1:12" x14ac:dyDescent="0.25">
      <c r="A167" s="57" t="s">
        <v>1669</v>
      </c>
      <c r="B167" s="58" t="s">
        <v>1668</v>
      </c>
      <c r="C167" s="58"/>
      <c r="D167" s="58" t="s">
        <v>332</v>
      </c>
      <c r="E167" s="58" t="s">
        <v>1667</v>
      </c>
      <c r="F167" s="58" t="s">
        <v>337</v>
      </c>
      <c r="G167" s="58">
        <v>0</v>
      </c>
      <c r="H167" s="59">
        <v>4291566.74</v>
      </c>
      <c r="I167" s="60">
        <v>0</v>
      </c>
      <c r="J167" s="59">
        <v>4291566.74</v>
      </c>
      <c r="K167" s="61" t="s">
        <v>330</v>
      </c>
      <c r="L167" s="62" t="s">
        <v>330</v>
      </c>
    </row>
    <row r="168" spans="1:12" x14ac:dyDescent="0.25">
      <c r="A168" s="57" t="s">
        <v>1666</v>
      </c>
      <c r="B168" s="58" t="s">
        <v>1663</v>
      </c>
      <c r="C168" s="58"/>
      <c r="D168" s="58" t="s">
        <v>332</v>
      </c>
      <c r="E168" s="58" t="s">
        <v>1665</v>
      </c>
      <c r="F168" s="58" t="s">
        <v>337</v>
      </c>
      <c r="G168" s="58">
        <v>0</v>
      </c>
      <c r="H168" s="59">
        <v>0</v>
      </c>
      <c r="I168" s="60">
        <v>0</v>
      </c>
      <c r="J168" s="59">
        <v>0</v>
      </c>
      <c r="K168" s="61" t="s">
        <v>330</v>
      </c>
      <c r="L168" s="62" t="s">
        <v>330</v>
      </c>
    </row>
    <row r="169" spans="1:12" x14ac:dyDescent="0.25">
      <c r="A169" s="57" t="s">
        <v>1664</v>
      </c>
      <c r="B169" s="58" t="s">
        <v>1663</v>
      </c>
      <c r="C169" s="58"/>
      <c r="D169" s="58" t="s">
        <v>332</v>
      </c>
      <c r="E169" s="58" t="s">
        <v>1662</v>
      </c>
      <c r="F169" s="58" t="s">
        <v>337</v>
      </c>
      <c r="G169" s="58">
        <v>0</v>
      </c>
      <c r="H169" s="59">
        <v>1174721.04</v>
      </c>
      <c r="I169" s="60">
        <v>0</v>
      </c>
      <c r="J169" s="59">
        <v>1174721.04</v>
      </c>
      <c r="K169" s="61" t="s">
        <v>330</v>
      </c>
      <c r="L169" s="62" t="s">
        <v>330</v>
      </c>
    </row>
    <row r="170" spans="1:12" x14ac:dyDescent="0.25">
      <c r="A170" s="57" t="s">
        <v>1661</v>
      </c>
      <c r="B170" s="58" t="s">
        <v>8</v>
      </c>
      <c r="C170" s="58"/>
      <c r="D170" s="58" t="s">
        <v>332</v>
      </c>
      <c r="E170" s="58" t="s">
        <v>1660</v>
      </c>
      <c r="F170" s="58" t="s">
        <v>337</v>
      </c>
      <c r="G170" s="58">
        <v>0</v>
      </c>
      <c r="H170" s="59">
        <v>0</v>
      </c>
      <c r="I170" s="60">
        <v>0</v>
      </c>
      <c r="J170" s="59">
        <v>0</v>
      </c>
      <c r="K170" s="61" t="s">
        <v>330</v>
      </c>
      <c r="L170" s="62" t="s">
        <v>330</v>
      </c>
    </row>
    <row r="171" spans="1:12" x14ac:dyDescent="0.25">
      <c r="A171" s="57" t="s">
        <v>1659</v>
      </c>
      <c r="B171" s="58" t="s">
        <v>8</v>
      </c>
      <c r="C171" s="58"/>
      <c r="D171" s="58" t="s">
        <v>332</v>
      </c>
      <c r="E171" s="58" t="s">
        <v>1658</v>
      </c>
      <c r="F171" s="58" t="s">
        <v>337</v>
      </c>
      <c r="G171" s="58">
        <v>0</v>
      </c>
      <c r="H171" s="59">
        <v>0</v>
      </c>
      <c r="I171" s="60">
        <v>0</v>
      </c>
      <c r="J171" s="59">
        <v>0</v>
      </c>
      <c r="K171" s="61" t="s">
        <v>330</v>
      </c>
      <c r="L171" s="62" t="s">
        <v>330</v>
      </c>
    </row>
    <row r="172" spans="1:12" x14ac:dyDescent="0.25">
      <c r="A172" s="57" t="s">
        <v>10</v>
      </c>
      <c r="B172" s="58" t="s">
        <v>8</v>
      </c>
      <c r="C172" s="58" t="s">
        <v>881</v>
      </c>
      <c r="D172" s="58" t="s">
        <v>355</v>
      </c>
      <c r="E172" s="58" t="s">
        <v>1657</v>
      </c>
      <c r="F172" s="58" t="s">
        <v>1656</v>
      </c>
      <c r="G172" s="58">
        <v>0.99980000000000002</v>
      </c>
      <c r="H172" s="59">
        <v>8396309.7599999998</v>
      </c>
      <c r="I172" s="60">
        <v>8394769.0199999996</v>
      </c>
      <c r="J172" s="59">
        <v>1540.7400000002235</v>
      </c>
      <c r="K172" s="63">
        <v>44868</v>
      </c>
      <c r="L172" s="64">
        <v>45560</v>
      </c>
    </row>
    <row r="173" spans="1:12" x14ac:dyDescent="0.25">
      <c r="A173" s="57" t="s">
        <v>57</v>
      </c>
      <c r="B173" s="58" t="s">
        <v>8</v>
      </c>
      <c r="C173" s="58" t="s">
        <v>363</v>
      </c>
      <c r="D173" s="58" t="s">
        <v>355</v>
      </c>
      <c r="E173" s="58" t="s">
        <v>1655</v>
      </c>
      <c r="F173" s="58" t="s">
        <v>683</v>
      </c>
      <c r="G173" s="58">
        <v>0.98650000000000004</v>
      </c>
      <c r="H173" s="59">
        <v>45237596.810000002</v>
      </c>
      <c r="I173" s="60">
        <v>44626728.200000003</v>
      </c>
      <c r="J173" s="59">
        <v>610868.6099999994</v>
      </c>
      <c r="K173" s="63">
        <v>44769</v>
      </c>
      <c r="L173" s="64">
        <v>45701</v>
      </c>
    </row>
    <row r="174" spans="1:12" x14ac:dyDescent="0.25">
      <c r="A174" s="57" t="s">
        <v>89</v>
      </c>
      <c r="B174" s="58" t="s">
        <v>8</v>
      </c>
      <c r="C174" s="58" t="s">
        <v>1654</v>
      </c>
      <c r="D174" s="58" t="s">
        <v>7</v>
      </c>
      <c r="E174" s="58" t="s">
        <v>1653</v>
      </c>
      <c r="F174" s="58" t="s">
        <v>1194</v>
      </c>
      <c r="G174" s="58">
        <v>0.9899</v>
      </c>
      <c r="H174" s="59">
        <v>148784461.49000001</v>
      </c>
      <c r="I174" s="60">
        <v>147280622.62</v>
      </c>
      <c r="J174" s="59">
        <v>1503838.8700000048</v>
      </c>
      <c r="K174" s="63">
        <v>45503</v>
      </c>
      <c r="L174" s="64">
        <v>46043</v>
      </c>
    </row>
    <row r="175" spans="1:12" x14ac:dyDescent="0.25">
      <c r="A175" s="57" t="s">
        <v>79</v>
      </c>
      <c r="B175" s="58" t="s">
        <v>8</v>
      </c>
      <c r="C175" s="58" t="s">
        <v>1652</v>
      </c>
      <c r="D175" s="58" t="s">
        <v>355</v>
      </c>
      <c r="E175" s="58" t="s">
        <v>1651</v>
      </c>
      <c r="F175" s="58" t="s">
        <v>1267</v>
      </c>
      <c r="G175" s="58">
        <v>0.97809999999999997</v>
      </c>
      <c r="H175" s="59">
        <v>90986818.170000002</v>
      </c>
      <c r="I175" s="60">
        <v>88995375.530000001</v>
      </c>
      <c r="J175" s="59">
        <v>1991442.6400000006</v>
      </c>
      <c r="K175" s="63">
        <v>44986</v>
      </c>
      <c r="L175" s="64">
        <v>45589</v>
      </c>
    </row>
    <row r="176" spans="1:12" x14ac:dyDescent="0.25">
      <c r="A176" s="57" t="s">
        <v>75</v>
      </c>
      <c r="B176" s="58" t="s">
        <v>8</v>
      </c>
      <c r="C176" s="58" t="s">
        <v>1650</v>
      </c>
      <c r="D176" s="58" t="s">
        <v>7</v>
      </c>
      <c r="E176" s="58" t="s">
        <v>1649</v>
      </c>
      <c r="F176" s="58" t="s">
        <v>424</v>
      </c>
      <c r="G176" s="58">
        <v>0.97860000000000003</v>
      </c>
      <c r="H176" s="59">
        <v>113557951.65000001</v>
      </c>
      <c r="I176" s="60">
        <v>111133195.68000001</v>
      </c>
      <c r="J176" s="59">
        <v>2424755.9699999988</v>
      </c>
      <c r="K176" s="63">
        <v>45498</v>
      </c>
      <c r="L176" s="64">
        <v>46038</v>
      </c>
    </row>
    <row r="177" spans="1:12" x14ac:dyDescent="0.25">
      <c r="A177" s="57" t="s">
        <v>321</v>
      </c>
      <c r="B177" s="58" t="s">
        <v>8</v>
      </c>
      <c r="C177" s="58" t="s">
        <v>1648</v>
      </c>
      <c r="D177" s="58" t="s">
        <v>7</v>
      </c>
      <c r="E177" s="58" t="s">
        <v>1647</v>
      </c>
      <c r="F177" s="58" t="s">
        <v>1194</v>
      </c>
      <c r="G177" s="58">
        <v>0.93010000000000004</v>
      </c>
      <c r="H177" s="59">
        <v>41651255.979999997</v>
      </c>
      <c r="I177" s="60">
        <v>38738669.020000003</v>
      </c>
      <c r="J177" s="59">
        <v>2912586.9599999934</v>
      </c>
      <c r="K177" s="63">
        <v>45391</v>
      </c>
      <c r="L177" s="64">
        <v>46057</v>
      </c>
    </row>
    <row r="178" spans="1:12" x14ac:dyDescent="0.25">
      <c r="A178" s="57" t="s">
        <v>1646</v>
      </c>
      <c r="B178" s="58" t="s">
        <v>8</v>
      </c>
      <c r="C178" s="58" t="s">
        <v>1098</v>
      </c>
      <c r="D178" s="58" t="s">
        <v>426</v>
      </c>
      <c r="E178" s="58" t="s">
        <v>1645</v>
      </c>
      <c r="F178" s="58" t="s">
        <v>1194</v>
      </c>
      <c r="G178" s="58">
        <v>0.55259999999999998</v>
      </c>
      <c r="H178" s="59">
        <v>22759968.59</v>
      </c>
      <c r="I178" s="60">
        <v>12576165.07</v>
      </c>
      <c r="J178" s="59">
        <v>10183803.52</v>
      </c>
      <c r="K178" s="63">
        <v>44511</v>
      </c>
      <c r="L178" s="64">
        <v>44958</v>
      </c>
    </row>
    <row r="179" spans="1:12" x14ac:dyDescent="0.25">
      <c r="A179" s="57" t="s">
        <v>104</v>
      </c>
      <c r="B179" s="58" t="s">
        <v>8</v>
      </c>
      <c r="C179" s="58" t="s">
        <v>1644</v>
      </c>
      <c r="D179" s="58" t="s">
        <v>7</v>
      </c>
      <c r="E179" s="58" t="s">
        <v>1643</v>
      </c>
      <c r="F179" s="58" t="s">
        <v>353</v>
      </c>
      <c r="G179" s="58">
        <v>0.54139999999999999</v>
      </c>
      <c r="H179" s="59">
        <v>26504288.68</v>
      </c>
      <c r="I179" s="60">
        <v>14348711.09</v>
      </c>
      <c r="J179" s="59">
        <v>12155577.59</v>
      </c>
      <c r="K179" s="63">
        <v>45190</v>
      </c>
      <c r="L179" s="64">
        <v>46153</v>
      </c>
    </row>
    <row r="180" spans="1:12" x14ac:dyDescent="0.25">
      <c r="A180" s="57" t="s">
        <v>1642</v>
      </c>
      <c r="B180" s="58" t="s">
        <v>8</v>
      </c>
      <c r="C180" s="58" t="s">
        <v>826</v>
      </c>
      <c r="D180" s="58" t="s">
        <v>426</v>
      </c>
      <c r="E180" s="58" t="s">
        <v>1641</v>
      </c>
      <c r="F180" s="58" t="s">
        <v>683</v>
      </c>
      <c r="G180" s="58">
        <v>1.0500000000000001E-2</v>
      </c>
      <c r="H180" s="59">
        <v>12679339.18</v>
      </c>
      <c r="I180" s="60">
        <v>133236.57999999999</v>
      </c>
      <c r="J180" s="59">
        <v>12546102.6</v>
      </c>
      <c r="K180" s="63">
        <v>44753</v>
      </c>
      <c r="L180" s="64">
        <v>44984</v>
      </c>
    </row>
    <row r="181" spans="1:12" x14ac:dyDescent="0.25">
      <c r="A181" s="57" t="s">
        <v>1640</v>
      </c>
      <c r="B181" s="58" t="s">
        <v>8</v>
      </c>
      <c r="C181" s="58" t="s">
        <v>920</v>
      </c>
      <c r="D181" s="58" t="s">
        <v>426</v>
      </c>
      <c r="E181" s="58" t="s">
        <v>1639</v>
      </c>
      <c r="F181" s="58" t="s">
        <v>1269</v>
      </c>
      <c r="G181" s="58">
        <v>6.3E-3</v>
      </c>
      <c r="H181" s="59">
        <v>21672861.460000001</v>
      </c>
      <c r="I181" s="60">
        <v>137475.09</v>
      </c>
      <c r="J181" s="59">
        <v>21535386.370000001</v>
      </c>
      <c r="K181" s="63">
        <v>44783</v>
      </c>
      <c r="L181" s="64">
        <v>44998</v>
      </c>
    </row>
    <row r="182" spans="1:12" x14ac:dyDescent="0.25">
      <c r="A182" s="57" t="s">
        <v>19</v>
      </c>
      <c r="B182" s="58" t="s">
        <v>8</v>
      </c>
      <c r="C182" s="58" t="s">
        <v>1638</v>
      </c>
      <c r="D182" s="58" t="s">
        <v>426</v>
      </c>
      <c r="E182" s="58" t="s">
        <v>1637</v>
      </c>
      <c r="F182" s="58" t="s">
        <v>1636</v>
      </c>
      <c r="G182" s="58">
        <v>0.2034</v>
      </c>
      <c r="H182" s="59">
        <v>30334596.91</v>
      </c>
      <c r="I182" s="60">
        <v>6171237.7800000003</v>
      </c>
      <c r="J182" s="59">
        <v>24163359.129999999</v>
      </c>
      <c r="K182" s="63">
        <v>44753</v>
      </c>
      <c r="L182" s="64">
        <v>45505</v>
      </c>
    </row>
    <row r="183" spans="1:12" x14ac:dyDescent="0.25">
      <c r="A183" s="57" t="s">
        <v>1635</v>
      </c>
      <c r="B183" s="58" t="s">
        <v>8</v>
      </c>
      <c r="C183" s="58"/>
      <c r="D183" s="58" t="s">
        <v>332</v>
      </c>
      <c r="E183" s="58" t="s">
        <v>1634</v>
      </c>
      <c r="F183" s="58" t="s">
        <v>337</v>
      </c>
      <c r="G183" s="58">
        <v>0</v>
      </c>
      <c r="H183" s="59">
        <v>27918216.079999998</v>
      </c>
      <c r="I183" s="60">
        <v>0</v>
      </c>
      <c r="J183" s="59">
        <v>27918216.079999998</v>
      </c>
      <c r="K183" s="61" t="s">
        <v>330</v>
      </c>
      <c r="L183" s="62" t="s">
        <v>330</v>
      </c>
    </row>
    <row r="184" spans="1:12" x14ac:dyDescent="0.25">
      <c r="A184" s="57" t="s">
        <v>85</v>
      </c>
      <c r="B184" s="58" t="s">
        <v>8</v>
      </c>
      <c r="C184" s="58" t="s">
        <v>765</v>
      </c>
      <c r="D184" s="58" t="s">
        <v>7</v>
      </c>
      <c r="E184" s="58" t="s">
        <v>1633</v>
      </c>
      <c r="F184" s="58" t="s">
        <v>1194</v>
      </c>
      <c r="G184" s="58">
        <v>0.38670000000000004</v>
      </c>
      <c r="H184" s="59">
        <v>58032411.710000001</v>
      </c>
      <c r="I184" s="60">
        <v>22442987.530000001</v>
      </c>
      <c r="J184" s="59">
        <v>35589424.18</v>
      </c>
      <c r="K184" s="63">
        <v>44753</v>
      </c>
      <c r="L184" s="64">
        <v>46077</v>
      </c>
    </row>
    <row r="185" spans="1:12" x14ac:dyDescent="0.25">
      <c r="A185" s="57" t="s">
        <v>5</v>
      </c>
      <c r="B185" s="58" t="s">
        <v>8</v>
      </c>
      <c r="C185" s="58" t="s">
        <v>1632</v>
      </c>
      <c r="D185" s="58" t="s">
        <v>7</v>
      </c>
      <c r="E185" s="58" t="s">
        <v>1631</v>
      </c>
      <c r="F185" s="58" t="s">
        <v>1622</v>
      </c>
      <c r="G185" s="58">
        <v>0.25579999999999997</v>
      </c>
      <c r="H185" s="59">
        <v>51119038.920000002</v>
      </c>
      <c r="I185" s="60">
        <v>13076598.15</v>
      </c>
      <c r="J185" s="59">
        <v>38042440.770000003</v>
      </c>
      <c r="K185" s="63">
        <v>44753</v>
      </c>
      <c r="L185" s="64">
        <v>46209</v>
      </c>
    </row>
    <row r="186" spans="1:12" x14ac:dyDescent="0.25">
      <c r="A186" s="57" t="s">
        <v>1630</v>
      </c>
      <c r="B186" s="58" t="s">
        <v>8</v>
      </c>
      <c r="C186" s="58" t="s">
        <v>1629</v>
      </c>
      <c r="D186" s="58" t="s">
        <v>426</v>
      </c>
      <c r="E186" s="58" t="s">
        <v>1628</v>
      </c>
      <c r="F186" s="58" t="s">
        <v>1622</v>
      </c>
      <c r="G186" s="58">
        <v>0.4456</v>
      </c>
      <c r="H186" s="59">
        <v>69450000</v>
      </c>
      <c r="I186" s="60">
        <v>30949430.48</v>
      </c>
      <c r="J186" s="59">
        <v>38500569.519999996</v>
      </c>
      <c r="K186" s="63">
        <v>44449</v>
      </c>
      <c r="L186" s="64">
        <v>45329</v>
      </c>
    </row>
    <row r="187" spans="1:12" x14ac:dyDescent="0.25">
      <c r="A187" s="57" t="s">
        <v>1627</v>
      </c>
      <c r="B187" s="58" t="s">
        <v>8</v>
      </c>
      <c r="C187" s="58"/>
      <c r="D187" s="58" t="s">
        <v>332</v>
      </c>
      <c r="E187" s="58" t="s">
        <v>1626</v>
      </c>
      <c r="F187" s="58" t="s">
        <v>337</v>
      </c>
      <c r="G187" s="65" t="s">
        <v>330</v>
      </c>
      <c r="H187" s="59">
        <v>40741579.149999999</v>
      </c>
      <c r="I187" s="60">
        <v>0</v>
      </c>
      <c r="J187" s="59">
        <v>40741579.149999999</v>
      </c>
      <c r="K187" s="61" t="s">
        <v>330</v>
      </c>
      <c r="L187" s="62" t="s">
        <v>330</v>
      </c>
    </row>
    <row r="188" spans="1:12" x14ac:dyDescent="0.25">
      <c r="A188" s="57" t="s">
        <v>1625</v>
      </c>
      <c r="B188" s="58" t="s">
        <v>8</v>
      </c>
      <c r="C188" s="58" t="s">
        <v>1624</v>
      </c>
      <c r="D188" s="58" t="s">
        <v>426</v>
      </c>
      <c r="E188" s="58" t="s">
        <v>1623</v>
      </c>
      <c r="F188" s="58" t="s">
        <v>1622</v>
      </c>
      <c r="G188" s="58">
        <v>0.44950000000000001</v>
      </c>
      <c r="H188" s="59">
        <v>84484346.709999993</v>
      </c>
      <c r="I188" s="60">
        <v>37978980.670000002</v>
      </c>
      <c r="J188" s="59">
        <v>46505366.039999992</v>
      </c>
      <c r="K188" s="63">
        <v>44449</v>
      </c>
      <c r="L188" s="64">
        <v>45329</v>
      </c>
    </row>
    <row r="189" spans="1:12" x14ac:dyDescent="0.25">
      <c r="A189" s="57" t="s">
        <v>33</v>
      </c>
      <c r="B189" s="58" t="s">
        <v>8</v>
      </c>
      <c r="C189" s="58" t="s">
        <v>1621</v>
      </c>
      <c r="D189" s="58" t="s">
        <v>426</v>
      </c>
      <c r="E189" s="58" t="s">
        <v>1620</v>
      </c>
      <c r="F189" s="58" t="s">
        <v>1164</v>
      </c>
      <c r="G189" s="58">
        <v>2.8000000000000004E-3</v>
      </c>
      <c r="H189" s="59">
        <v>47996411.380000003</v>
      </c>
      <c r="I189" s="60">
        <v>133579.45000000001</v>
      </c>
      <c r="J189" s="59">
        <v>47862831.93</v>
      </c>
      <c r="K189" s="63">
        <v>44887</v>
      </c>
      <c r="L189" s="64">
        <v>45187</v>
      </c>
    </row>
    <row r="190" spans="1:12" x14ac:dyDescent="0.25">
      <c r="A190" s="57" t="s">
        <v>1619</v>
      </c>
      <c r="B190" s="58" t="s">
        <v>8</v>
      </c>
      <c r="C190" s="58"/>
      <c r="D190" s="58" t="s">
        <v>367</v>
      </c>
      <c r="E190" s="58" t="s">
        <v>1618</v>
      </c>
      <c r="F190" s="58" t="s">
        <v>337</v>
      </c>
      <c r="G190" s="58">
        <v>0</v>
      </c>
      <c r="H190" s="59">
        <v>49278809.689999998</v>
      </c>
      <c r="I190" s="60">
        <v>0</v>
      </c>
      <c r="J190" s="59">
        <v>49278809.689999998</v>
      </c>
      <c r="K190" s="61" t="s">
        <v>330</v>
      </c>
      <c r="L190" s="62" t="s">
        <v>330</v>
      </c>
    </row>
    <row r="191" spans="1:12" x14ac:dyDescent="0.25">
      <c r="A191" s="57" t="s">
        <v>1617</v>
      </c>
      <c r="B191" s="58" t="s">
        <v>8</v>
      </c>
      <c r="C191" s="58"/>
      <c r="D191" s="58" t="s">
        <v>367</v>
      </c>
      <c r="E191" s="58" t="s">
        <v>1616</v>
      </c>
      <c r="F191" s="58" t="s">
        <v>337</v>
      </c>
      <c r="G191" s="58">
        <v>0</v>
      </c>
      <c r="H191" s="59">
        <v>50555175.229999997</v>
      </c>
      <c r="I191" s="60">
        <v>0</v>
      </c>
      <c r="J191" s="59">
        <v>50555175.229999997</v>
      </c>
      <c r="K191" s="61" t="s">
        <v>330</v>
      </c>
      <c r="L191" s="62" t="s">
        <v>330</v>
      </c>
    </row>
    <row r="192" spans="1:12" x14ac:dyDescent="0.25">
      <c r="A192" s="57" t="s">
        <v>91</v>
      </c>
      <c r="B192" s="58" t="s">
        <v>8</v>
      </c>
      <c r="C192" s="58" t="s">
        <v>1615</v>
      </c>
      <c r="D192" s="58" t="s">
        <v>7</v>
      </c>
      <c r="E192" s="58" t="s">
        <v>1614</v>
      </c>
      <c r="F192" s="58" t="s">
        <v>1148</v>
      </c>
      <c r="G192" s="58">
        <v>3.7699999999999997E-2</v>
      </c>
      <c r="H192" s="59">
        <v>54283415</v>
      </c>
      <c r="I192" s="60">
        <v>2045374.39</v>
      </c>
      <c r="J192" s="59">
        <v>52238040.609999999</v>
      </c>
      <c r="K192" s="63">
        <v>44753</v>
      </c>
      <c r="L192" s="64">
        <v>46195</v>
      </c>
    </row>
    <row r="193" spans="1:12" x14ac:dyDescent="0.25">
      <c r="A193" s="57" t="s">
        <v>1613</v>
      </c>
      <c r="B193" s="58" t="s">
        <v>8</v>
      </c>
      <c r="C193" s="58" t="s">
        <v>1612</v>
      </c>
      <c r="D193" s="58" t="s">
        <v>396</v>
      </c>
      <c r="E193" s="58" t="s">
        <v>1611</v>
      </c>
      <c r="F193" s="58" t="s">
        <v>1610</v>
      </c>
      <c r="G193" s="58">
        <v>4.9699999999999994E-2</v>
      </c>
      <c r="H193" s="59">
        <v>61462915.770000003</v>
      </c>
      <c r="I193" s="60">
        <v>3055708.5</v>
      </c>
      <c r="J193" s="59">
        <v>58407207.270000003</v>
      </c>
      <c r="K193" s="63">
        <v>44760</v>
      </c>
      <c r="L193" s="62" t="s">
        <v>330</v>
      </c>
    </row>
    <row r="194" spans="1:12" x14ac:dyDescent="0.25">
      <c r="A194" s="57" t="s">
        <v>1609</v>
      </c>
      <c r="B194" s="58" t="s">
        <v>8</v>
      </c>
      <c r="C194" s="58"/>
      <c r="D194" s="58" t="s">
        <v>332</v>
      </c>
      <c r="E194" s="58" t="s">
        <v>1608</v>
      </c>
      <c r="F194" s="58"/>
      <c r="G194" s="58">
        <v>0</v>
      </c>
      <c r="H194" s="59">
        <v>60731210.009999998</v>
      </c>
      <c r="I194" s="60">
        <v>0</v>
      </c>
      <c r="J194" s="59">
        <v>60731210.009999998</v>
      </c>
      <c r="K194" s="61" t="s">
        <v>330</v>
      </c>
      <c r="L194" s="62" t="s">
        <v>330</v>
      </c>
    </row>
    <row r="195" spans="1:12" x14ac:dyDescent="0.25">
      <c r="A195" s="57" t="s">
        <v>1607</v>
      </c>
      <c r="B195" s="58" t="s">
        <v>8</v>
      </c>
      <c r="C195" s="58"/>
      <c r="D195" s="58" t="s">
        <v>339</v>
      </c>
      <c r="E195" s="58" t="s">
        <v>1606</v>
      </c>
      <c r="F195" s="58" t="s">
        <v>337</v>
      </c>
      <c r="G195" s="58">
        <v>0</v>
      </c>
      <c r="H195" s="59">
        <v>64716121.259999998</v>
      </c>
      <c r="I195" s="60">
        <v>0</v>
      </c>
      <c r="J195" s="59">
        <v>64716121.259999998</v>
      </c>
      <c r="K195" s="61" t="s">
        <v>330</v>
      </c>
      <c r="L195" s="62" t="s">
        <v>330</v>
      </c>
    </row>
    <row r="196" spans="1:12" x14ac:dyDescent="0.25">
      <c r="A196" s="57" t="s">
        <v>1605</v>
      </c>
      <c r="B196" s="58" t="s">
        <v>8</v>
      </c>
      <c r="C196" s="58"/>
      <c r="D196" s="58" t="s">
        <v>339</v>
      </c>
      <c r="E196" s="58" t="s">
        <v>1604</v>
      </c>
      <c r="F196" s="58" t="s">
        <v>337</v>
      </c>
      <c r="G196" s="58">
        <v>0</v>
      </c>
      <c r="H196" s="59">
        <v>67600075.780000001</v>
      </c>
      <c r="I196" s="60">
        <v>0</v>
      </c>
      <c r="J196" s="59">
        <v>67600075.780000001</v>
      </c>
      <c r="K196" s="61" t="s">
        <v>330</v>
      </c>
      <c r="L196" s="62" t="s">
        <v>330</v>
      </c>
    </row>
    <row r="197" spans="1:12" x14ac:dyDescent="0.25">
      <c r="A197" s="57" t="s">
        <v>1603</v>
      </c>
      <c r="B197" s="58" t="s">
        <v>8</v>
      </c>
      <c r="C197" s="58"/>
      <c r="D197" s="58" t="s">
        <v>339</v>
      </c>
      <c r="E197" s="58" t="s">
        <v>1602</v>
      </c>
      <c r="F197" s="58" t="s">
        <v>337</v>
      </c>
      <c r="G197" s="58">
        <v>0</v>
      </c>
      <c r="H197" s="59">
        <v>70365192.549999997</v>
      </c>
      <c r="I197" s="60">
        <v>0</v>
      </c>
      <c r="J197" s="59">
        <v>70365192.549999997</v>
      </c>
      <c r="K197" s="61" t="s">
        <v>330</v>
      </c>
      <c r="L197" s="62" t="s">
        <v>330</v>
      </c>
    </row>
    <row r="198" spans="1:12" x14ac:dyDescent="0.25">
      <c r="A198" s="57" t="s">
        <v>1601</v>
      </c>
      <c r="B198" s="58" t="s">
        <v>8</v>
      </c>
      <c r="C198" s="58"/>
      <c r="D198" s="58" t="s">
        <v>367</v>
      </c>
      <c r="E198" s="58" t="s">
        <v>1600</v>
      </c>
      <c r="F198" s="58" t="s">
        <v>424</v>
      </c>
      <c r="G198" s="58">
        <v>0</v>
      </c>
      <c r="H198" s="59">
        <v>77606327.849999994</v>
      </c>
      <c r="I198" s="60">
        <v>0</v>
      </c>
      <c r="J198" s="59">
        <v>77606327.849999994</v>
      </c>
      <c r="K198" s="61" t="s">
        <v>330</v>
      </c>
      <c r="L198" s="62" t="s">
        <v>330</v>
      </c>
    </row>
    <row r="199" spans="1:12" x14ac:dyDescent="0.25">
      <c r="A199" s="57" t="s">
        <v>1599</v>
      </c>
      <c r="B199" s="58" t="s">
        <v>8</v>
      </c>
      <c r="C199" s="58"/>
      <c r="D199" s="58" t="s">
        <v>339</v>
      </c>
      <c r="E199" s="58" t="s">
        <v>1598</v>
      </c>
      <c r="F199" s="58" t="s">
        <v>337</v>
      </c>
      <c r="G199" s="58">
        <v>0</v>
      </c>
      <c r="H199" s="59">
        <v>117216866.95</v>
      </c>
      <c r="I199" s="60">
        <v>0</v>
      </c>
      <c r="J199" s="59">
        <v>117216866.95</v>
      </c>
      <c r="K199" s="61" t="s">
        <v>330</v>
      </c>
      <c r="L199" s="62" t="s">
        <v>330</v>
      </c>
    </row>
    <row r="200" spans="1:12" x14ac:dyDescent="0.25">
      <c r="A200" s="57" t="s">
        <v>1597</v>
      </c>
      <c r="B200" s="58" t="s">
        <v>8</v>
      </c>
      <c r="C200" s="58"/>
      <c r="D200" s="58" t="s">
        <v>339</v>
      </c>
      <c r="E200" s="58" t="s">
        <v>1596</v>
      </c>
      <c r="F200" s="58" t="s">
        <v>1595</v>
      </c>
      <c r="G200" s="58">
        <v>0</v>
      </c>
      <c r="H200" s="59">
        <v>208006405.5</v>
      </c>
      <c r="I200" s="60">
        <v>0</v>
      </c>
      <c r="J200" s="59">
        <v>208006405.5</v>
      </c>
      <c r="K200" s="61" t="s">
        <v>330</v>
      </c>
      <c r="L200" s="62" t="s">
        <v>330</v>
      </c>
    </row>
    <row r="201" spans="1:12" x14ac:dyDescent="0.25">
      <c r="A201" s="57" t="s">
        <v>1594</v>
      </c>
      <c r="B201" s="58" t="s">
        <v>8</v>
      </c>
      <c r="C201" s="58"/>
      <c r="D201" s="58" t="s">
        <v>332</v>
      </c>
      <c r="E201" s="58" t="s">
        <v>1593</v>
      </c>
      <c r="F201" s="58" t="s">
        <v>337</v>
      </c>
      <c r="G201" s="58">
        <v>0</v>
      </c>
      <c r="H201" s="59">
        <v>211395780.63</v>
      </c>
      <c r="I201" s="60">
        <v>0</v>
      </c>
      <c r="J201" s="59">
        <v>211395780.63</v>
      </c>
      <c r="K201" s="61" t="s">
        <v>330</v>
      </c>
      <c r="L201" s="62" t="s">
        <v>330</v>
      </c>
    </row>
    <row r="202" spans="1:12" x14ac:dyDescent="0.25">
      <c r="A202" s="57" t="s">
        <v>1592</v>
      </c>
      <c r="B202" s="58" t="s">
        <v>8</v>
      </c>
      <c r="C202" s="58"/>
      <c r="D202" s="58" t="s">
        <v>339</v>
      </c>
      <c r="E202" s="58" t="s">
        <v>1591</v>
      </c>
      <c r="F202" s="58" t="s">
        <v>337</v>
      </c>
      <c r="G202" s="58">
        <v>0</v>
      </c>
      <c r="H202" s="59">
        <v>232711691.44999999</v>
      </c>
      <c r="I202" s="60">
        <v>0</v>
      </c>
      <c r="J202" s="59">
        <v>232711691.44999999</v>
      </c>
      <c r="K202" s="61" t="s">
        <v>330</v>
      </c>
      <c r="L202" s="62" t="s">
        <v>330</v>
      </c>
    </row>
    <row r="203" spans="1:12" x14ac:dyDescent="0.25">
      <c r="A203" s="57" t="s">
        <v>1590</v>
      </c>
      <c r="B203" s="58" t="s">
        <v>8</v>
      </c>
      <c r="C203" s="58"/>
      <c r="D203" s="58" t="s">
        <v>339</v>
      </c>
      <c r="E203" s="58" t="s">
        <v>1589</v>
      </c>
      <c r="F203" s="58" t="s">
        <v>337</v>
      </c>
      <c r="G203" s="58">
        <v>0</v>
      </c>
      <c r="H203" s="59">
        <v>238548676.53999999</v>
      </c>
      <c r="I203" s="60">
        <v>0</v>
      </c>
      <c r="J203" s="59">
        <v>238548676.53999999</v>
      </c>
      <c r="K203" s="61" t="s">
        <v>330</v>
      </c>
      <c r="L203" s="62" t="s">
        <v>330</v>
      </c>
    </row>
    <row r="204" spans="1:12" x14ac:dyDescent="0.25">
      <c r="A204" s="57" t="s">
        <v>1588</v>
      </c>
      <c r="B204" s="58" t="s">
        <v>1577</v>
      </c>
      <c r="C204" s="58" t="s">
        <v>1587</v>
      </c>
      <c r="D204" s="58" t="s">
        <v>355</v>
      </c>
      <c r="E204" s="58" t="s">
        <v>1586</v>
      </c>
      <c r="F204" s="58" t="s">
        <v>1585</v>
      </c>
      <c r="G204" s="58">
        <v>0.96439999999999992</v>
      </c>
      <c r="H204" s="59">
        <v>1332580.8600000001</v>
      </c>
      <c r="I204" s="60">
        <v>1285178.3600000001</v>
      </c>
      <c r="J204" s="59">
        <v>47402.5</v>
      </c>
      <c r="K204" s="63">
        <v>44536</v>
      </c>
      <c r="L204" s="64">
        <v>45230</v>
      </c>
    </row>
    <row r="205" spans="1:12" x14ac:dyDescent="0.25">
      <c r="A205" s="57" t="s">
        <v>1584</v>
      </c>
      <c r="B205" s="58" t="s">
        <v>1577</v>
      </c>
      <c r="C205" s="58"/>
      <c r="D205" s="58" t="s">
        <v>332</v>
      </c>
      <c r="E205" s="58" t="s">
        <v>1583</v>
      </c>
      <c r="F205" s="58" t="s">
        <v>337</v>
      </c>
      <c r="G205" s="58">
        <v>0</v>
      </c>
      <c r="H205" s="59">
        <v>4761982.76</v>
      </c>
      <c r="I205" s="60">
        <v>0</v>
      </c>
      <c r="J205" s="59">
        <v>4761982.76</v>
      </c>
      <c r="K205" s="61" t="s">
        <v>330</v>
      </c>
      <c r="L205" s="62" t="s">
        <v>330</v>
      </c>
    </row>
    <row r="206" spans="1:12" x14ac:dyDescent="0.25">
      <c r="A206" s="57" t="s">
        <v>1582</v>
      </c>
      <c r="B206" s="58" t="s">
        <v>1577</v>
      </c>
      <c r="C206" s="58"/>
      <c r="D206" s="58" t="s">
        <v>339</v>
      </c>
      <c r="E206" s="58" t="s">
        <v>1581</v>
      </c>
      <c r="F206" s="58" t="s">
        <v>337</v>
      </c>
      <c r="G206" s="58">
        <v>0</v>
      </c>
      <c r="H206" s="59">
        <v>5774673.3300000001</v>
      </c>
      <c r="I206" s="60">
        <v>0</v>
      </c>
      <c r="J206" s="59">
        <v>5774673.3300000001</v>
      </c>
      <c r="K206" s="61" t="s">
        <v>330</v>
      </c>
      <c r="L206" s="62" t="s">
        <v>330</v>
      </c>
    </row>
    <row r="207" spans="1:12" x14ac:dyDescent="0.25">
      <c r="A207" s="57" t="s">
        <v>1580</v>
      </c>
      <c r="B207" s="58" t="s">
        <v>1577</v>
      </c>
      <c r="C207" s="58"/>
      <c r="D207" s="58" t="s">
        <v>332</v>
      </c>
      <c r="E207" s="58" t="s">
        <v>1579</v>
      </c>
      <c r="F207" s="58" t="s">
        <v>337</v>
      </c>
      <c r="G207" s="58">
        <v>0</v>
      </c>
      <c r="H207" s="59">
        <v>10863838.039999999</v>
      </c>
      <c r="I207" s="60">
        <v>0</v>
      </c>
      <c r="J207" s="59">
        <v>10863838.039999999</v>
      </c>
      <c r="K207" s="61" t="s">
        <v>330</v>
      </c>
      <c r="L207" s="62" t="s">
        <v>330</v>
      </c>
    </row>
    <row r="208" spans="1:12" x14ac:dyDescent="0.25">
      <c r="A208" s="57" t="s">
        <v>1578</v>
      </c>
      <c r="B208" s="58" t="s">
        <v>1577</v>
      </c>
      <c r="C208" s="58"/>
      <c r="D208" s="58" t="s">
        <v>339</v>
      </c>
      <c r="E208" s="58" t="s">
        <v>1576</v>
      </c>
      <c r="F208" s="58" t="s">
        <v>337</v>
      </c>
      <c r="G208" s="58">
        <v>0</v>
      </c>
      <c r="H208" s="59">
        <v>11438611.32</v>
      </c>
      <c r="I208" s="60">
        <v>0</v>
      </c>
      <c r="J208" s="59">
        <v>11438611.32</v>
      </c>
      <c r="K208" s="61" t="s">
        <v>330</v>
      </c>
      <c r="L208" s="62" t="s">
        <v>330</v>
      </c>
    </row>
    <row r="209" spans="1:12" x14ac:dyDescent="0.25">
      <c r="A209" s="57" t="s">
        <v>1575</v>
      </c>
      <c r="B209" s="58" t="s">
        <v>1566</v>
      </c>
      <c r="C209" s="58"/>
      <c r="D209" s="58" t="s">
        <v>332</v>
      </c>
      <c r="E209" s="58" t="s">
        <v>1574</v>
      </c>
      <c r="F209" s="58" t="s">
        <v>337</v>
      </c>
      <c r="G209" s="58">
        <v>0</v>
      </c>
      <c r="H209" s="59">
        <v>5657247.3300000001</v>
      </c>
      <c r="I209" s="60">
        <v>0</v>
      </c>
      <c r="J209" s="59">
        <v>5657247.3300000001</v>
      </c>
      <c r="K209" s="61" t="s">
        <v>330</v>
      </c>
      <c r="L209" s="62" t="s">
        <v>330</v>
      </c>
    </row>
    <row r="210" spans="1:12" x14ac:dyDescent="0.25">
      <c r="A210" s="57" t="s">
        <v>1573</v>
      </c>
      <c r="B210" s="58" t="s">
        <v>1566</v>
      </c>
      <c r="C210" s="58" t="s">
        <v>997</v>
      </c>
      <c r="D210" s="58" t="s">
        <v>396</v>
      </c>
      <c r="E210" s="58" t="s">
        <v>1572</v>
      </c>
      <c r="F210" s="58" t="s">
        <v>56</v>
      </c>
      <c r="G210" s="58">
        <v>0</v>
      </c>
      <c r="H210" s="59">
        <v>7767233.75</v>
      </c>
      <c r="I210" s="60">
        <v>0</v>
      </c>
      <c r="J210" s="59">
        <v>7767233.75</v>
      </c>
      <c r="K210" s="63">
        <v>44743</v>
      </c>
      <c r="L210" s="62" t="s">
        <v>330</v>
      </c>
    </row>
    <row r="211" spans="1:12" x14ac:dyDescent="0.25">
      <c r="A211" s="57" t="s">
        <v>1571</v>
      </c>
      <c r="B211" s="58" t="s">
        <v>1566</v>
      </c>
      <c r="C211" s="58"/>
      <c r="D211" s="58" t="s">
        <v>339</v>
      </c>
      <c r="E211" s="58" t="s">
        <v>1570</v>
      </c>
      <c r="F211" s="58" t="s">
        <v>337</v>
      </c>
      <c r="G211" s="58">
        <v>0</v>
      </c>
      <c r="H211" s="59">
        <v>26438448.059999999</v>
      </c>
      <c r="I211" s="60">
        <v>0</v>
      </c>
      <c r="J211" s="59">
        <v>26438448.059999999</v>
      </c>
      <c r="K211" s="61" t="s">
        <v>330</v>
      </c>
      <c r="L211" s="62" t="s">
        <v>330</v>
      </c>
    </row>
    <row r="212" spans="1:12" x14ac:dyDescent="0.25">
      <c r="A212" s="57" t="s">
        <v>1569</v>
      </c>
      <c r="B212" s="58" t="s">
        <v>1566</v>
      </c>
      <c r="C212" s="58"/>
      <c r="D212" s="58" t="s">
        <v>332</v>
      </c>
      <c r="E212" s="58" t="s">
        <v>1568</v>
      </c>
      <c r="F212" s="58" t="s">
        <v>337</v>
      </c>
      <c r="G212" s="58">
        <v>0</v>
      </c>
      <c r="H212" s="59">
        <v>61567048</v>
      </c>
      <c r="I212" s="60">
        <v>0</v>
      </c>
      <c r="J212" s="59">
        <v>61567048</v>
      </c>
      <c r="K212" s="61" t="s">
        <v>330</v>
      </c>
      <c r="L212" s="62" t="s">
        <v>330</v>
      </c>
    </row>
    <row r="213" spans="1:12" x14ac:dyDescent="0.25">
      <c r="A213" s="57" t="s">
        <v>1567</v>
      </c>
      <c r="B213" s="58" t="s">
        <v>1566</v>
      </c>
      <c r="C213" s="58"/>
      <c r="D213" s="58" t="s">
        <v>332</v>
      </c>
      <c r="E213" s="58" t="s">
        <v>1565</v>
      </c>
      <c r="F213" s="58" t="s">
        <v>337</v>
      </c>
      <c r="G213" s="58">
        <v>0</v>
      </c>
      <c r="H213" s="59">
        <v>65383735.060000002</v>
      </c>
      <c r="I213" s="60">
        <v>0</v>
      </c>
      <c r="J213" s="59">
        <v>65383735.060000002</v>
      </c>
      <c r="K213" s="61" t="s">
        <v>330</v>
      </c>
      <c r="L213" s="62" t="s">
        <v>330</v>
      </c>
    </row>
    <row r="214" spans="1:12" x14ac:dyDescent="0.25">
      <c r="A214" s="57" t="s">
        <v>1564</v>
      </c>
      <c r="B214" s="58" t="s">
        <v>163</v>
      </c>
      <c r="C214" s="58" t="s">
        <v>1563</v>
      </c>
      <c r="D214" s="58" t="s">
        <v>355</v>
      </c>
      <c r="E214" s="58" t="s">
        <v>1562</v>
      </c>
      <c r="F214" s="58" t="s">
        <v>343</v>
      </c>
      <c r="G214" s="58">
        <v>1</v>
      </c>
      <c r="H214" s="59">
        <v>8156656.1900000004</v>
      </c>
      <c r="I214" s="60">
        <v>8156656.1299999999</v>
      </c>
      <c r="J214" s="59">
        <v>6.0000000521540642E-2</v>
      </c>
      <c r="K214" s="63">
        <v>44832</v>
      </c>
      <c r="L214" s="64">
        <v>45378</v>
      </c>
    </row>
    <row r="215" spans="1:12" x14ac:dyDescent="0.25">
      <c r="A215" s="57" t="s">
        <v>162</v>
      </c>
      <c r="B215" s="58" t="s">
        <v>163</v>
      </c>
      <c r="C215" s="58" t="s">
        <v>1561</v>
      </c>
      <c r="D215" s="58" t="s">
        <v>7</v>
      </c>
      <c r="E215" s="58" t="s">
        <v>1560</v>
      </c>
      <c r="F215" s="58" t="s">
        <v>1559</v>
      </c>
      <c r="G215" s="58">
        <v>0.84209999999999996</v>
      </c>
      <c r="H215" s="59">
        <v>7704834.9100000001</v>
      </c>
      <c r="I215" s="60">
        <v>6488132.9400000004</v>
      </c>
      <c r="J215" s="59">
        <v>1216701.9699999997</v>
      </c>
      <c r="K215" s="63">
        <v>45286</v>
      </c>
      <c r="L215" s="64">
        <v>46098</v>
      </c>
    </row>
    <row r="216" spans="1:12" x14ac:dyDescent="0.25">
      <c r="A216" s="57" t="s">
        <v>1558</v>
      </c>
      <c r="B216" s="58" t="s">
        <v>1520</v>
      </c>
      <c r="C216" s="58" t="s">
        <v>960</v>
      </c>
      <c r="D216" s="58" t="s">
        <v>396</v>
      </c>
      <c r="E216" s="58" t="s">
        <v>1557</v>
      </c>
      <c r="F216" s="58" t="s">
        <v>424</v>
      </c>
      <c r="G216" s="58">
        <v>0.74129999999999996</v>
      </c>
      <c r="H216" s="59">
        <v>3180483.92</v>
      </c>
      <c r="I216" s="60">
        <v>2357832.12</v>
      </c>
      <c r="J216" s="59">
        <v>822651.79999999981</v>
      </c>
      <c r="K216" s="63">
        <v>44763</v>
      </c>
      <c r="L216" s="62" t="s">
        <v>330</v>
      </c>
    </row>
    <row r="217" spans="1:12" x14ac:dyDescent="0.25">
      <c r="A217" s="57" t="s">
        <v>1556</v>
      </c>
      <c r="B217" s="58" t="s">
        <v>1520</v>
      </c>
      <c r="C217" s="58" t="s">
        <v>1003</v>
      </c>
      <c r="D217" s="58" t="s">
        <v>396</v>
      </c>
      <c r="E217" s="58" t="s">
        <v>1555</v>
      </c>
      <c r="F217" s="58" t="s">
        <v>1544</v>
      </c>
      <c r="G217" s="58">
        <v>0.50049999999999994</v>
      </c>
      <c r="H217" s="59">
        <v>7752383.2699999996</v>
      </c>
      <c r="I217" s="60">
        <v>3879782.67</v>
      </c>
      <c r="J217" s="59">
        <v>3872600.5999999996</v>
      </c>
      <c r="K217" s="63">
        <v>44872</v>
      </c>
      <c r="L217" s="62" t="s">
        <v>330</v>
      </c>
    </row>
    <row r="218" spans="1:12" x14ac:dyDescent="0.25">
      <c r="A218" s="57" t="s">
        <v>1554</v>
      </c>
      <c r="B218" s="58" t="s">
        <v>1520</v>
      </c>
      <c r="C218" s="58" t="s">
        <v>1553</v>
      </c>
      <c r="D218" s="58" t="s">
        <v>426</v>
      </c>
      <c r="E218" s="58" t="s">
        <v>1552</v>
      </c>
      <c r="F218" s="58" t="s">
        <v>1551</v>
      </c>
      <c r="G218" s="58">
        <v>0</v>
      </c>
      <c r="H218" s="59">
        <v>11620104.779999999</v>
      </c>
      <c r="I218" s="60">
        <v>0</v>
      </c>
      <c r="J218" s="59">
        <v>11620104.779999999</v>
      </c>
      <c r="K218" s="61" t="s">
        <v>330</v>
      </c>
      <c r="L218" s="62" t="s">
        <v>330</v>
      </c>
    </row>
    <row r="219" spans="1:12" x14ac:dyDescent="0.25">
      <c r="A219" s="57" t="s">
        <v>1550</v>
      </c>
      <c r="B219" s="58" t="s">
        <v>1520</v>
      </c>
      <c r="C219" s="58" t="s">
        <v>1549</v>
      </c>
      <c r="D219" s="58" t="s">
        <v>396</v>
      </c>
      <c r="E219" s="58" t="s">
        <v>1548</v>
      </c>
      <c r="F219" s="58" t="s">
        <v>1544</v>
      </c>
      <c r="G219" s="58">
        <v>0.2026</v>
      </c>
      <c r="H219" s="59">
        <v>20044604.690000001</v>
      </c>
      <c r="I219" s="60">
        <v>4060129.09</v>
      </c>
      <c r="J219" s="59">
        <v>15984475.600000001</v>
      </c>
      <c r="K219" s="63">
        <v>44869</v>
      </c>
      <c r="L219" s="62" t="s">
        <v>330</v>
      </c>
    </row>
    <row r="220" spans="1:12" x14ac:dyDescent="0.25">
      <c r="A220" s="57" t="s">
        <v>1547</v>
      </c>
      <c r="B220" s="58" t="s">
        <v>1520</v>
      </c>
      <c r="C220" s="58" t="s">
        <v>1546</v>
      </c>
      <c r="D220" s="58" t="s">
        <v>396</v>
      </c>
      <c r="E220" s="58" t="s">
        <v>1545</v>
      </c>
      <c r="F220" s="58" t="s">
        <v>1544</v>
      </c>
      <c r="G220" s="58">
        <v>0.2021</v>
      </c>
      <c r="H220" s="59">
        <v>21191842.329999998</v>
      </c>
      <c r="I220" s="60">
        <v>4283203.83</v>
      </c>
      <c r="J220" s="59">
        <v>16908638.5</v>
      </c>
      <c r="K220" s="63">
        <v>44868</v>
      </c>
      <c r="L220" s="62" t="s">
        <v>330</v>
      </c>
    </row>
    <row r="221" spans="1:12" x14ac:dyDescent="0.25">
      <c r="A221" s="57" t="s">
        <v>1543</v>
      </c>
      <c r="B221" s="58" t="s">
        <v>1520</v>
      </c>
      <c r="C221" s="58" t="s">
        <v>1542</v>
      </c>
      <c r="D221" s="58" t="s">
        <v>396</v>
      </c>
      <c r="E221" s="58" t="s">
        <v>1541</v>
      </c>
      <c r="F221" s="58" t="s">
        <v>1540</v>
      </c>
      <c r="G221" s="58">
        <v>5.2300000000000006E-2</v>
      </c>
      <c r="H221" s="59">
        <v>18980081.98</v>
      </c>
      <c r="I221" s="60">
        <v>992844.26</v>
      </c>
      <c r="J221" s="59">
        <v>17987237.719999999</v>
      </c>
      <c r="K221" s="63">
        <v>45092</v>
      </c>
      <c r="L221" s="62" t="s">
        <v>330</v>
      </c>
    </row>
    <row r="222" spans="1:12" x14ac:dyDescent="0.25">
      <c r="A222" s="57" t="s">
        <v>1539</v>
      </c>
      <c r="B222" s="58" t="s">
        <v>1520</v>
      </c>
      <c r="C222" s="58" t="s">
        <v>659</v>
      </c>
      <c r="D222" s="58" t="s">
        <v>396</v>
      </c>
      <c r="E222" s="58" t="s">
        <v>1538</v>
      </c>
      <c r="F222" s="58" t="s">
        <v>424</v>
      </c>
      <c r="G222" s="58">
        <v>0</v>
      </c>
      <c r="H222" s="59">
        <v>23234356.370000001</v>
      </c>
      <c r="I222" s="60">
        <v>0</v>
      </c>
      <c r="J222" s="59">
        <v>23234356.370000001</v>
      </c>
      <c r="K222" s="61" t="s">
        <v>330</v>
      </c>
      <c r="L222" s="62" t="s">
        <v>330</v>
      </c>
    </row>
    <row r="223" spans="1:12" x14ac:dyDescent="0.25">
      <c r="A223" s="57" t="s">
        <v>1537</v>
      </c>
      <c r="B223" s="58" t="s">
        <v>1520</v>
      </c>
      <c r="C223" s="58"/>
      <c r="D223" s="58" t="s">
        <v>396</v>
      </c>
      <c r="E223" s="58" t="s">
        <v>1536</v>
      </c>
      <c r="F223" s="58" t="s">
        <v>424</v>
      </c>
      <c r="G223" s="58">
        <v>0</v>
      </c>
      <c r="H223" s="59">
        <v>28092138.27</v>
      </c>
      <c r="I223" s="60">
        <v>0</v>
      </c>
      <c r="J223" s="59">
        <v>28092138.27</v>
      </c>
      <c r="K223" s="61" t="s">
        <v>330</v>
      </c>
      <c r="L223" s="62" t="s">
        <v>330</v>
      </c>
    </row>
    <row r="224" spans="1:12" x14ac:dyDescent="0.25">
      <c r="A224" s="57" t="s">
        <v>1535</v>
      </c>
      <c r="B224" s="58" t="s">
        <v>1520</v>
      </c>
      <c r="C224" s="58"/>
      <c r="D224" s="58" t="s">
        <v>440</v>
      </c>
      <c r="E224" s="58" t="s">
        <v>1534</v>
      </c>
      <c r="F224" s="58" t="s">
        <v>1533</v>
      </c>
      <c r="G224" s="58">
        <v>0</v>
      </c>
      <c r="H224" s="59">
        <v>28796329.27</v>
      </c>
      <c r="I224" s="60">
        <v>0</v>
      </c>
      <c r="J224" s="59">
        <v>28796329.27</v>
      </c>
      <c r="K224" s="61" t="s">
        <v>330</v>
      </c>
      <c r="L224" s="62" t="s">
        <v>330</v>
      </c>
    </row>
    <row r="225" spans="1:12" x14ac:dyDescent="0.25">
      <c r="A225" s="57" t="s">
        <v>1532</v>
      </c>
      <c r="B225" s="58" t="s">
        <v>1520</v>
      </c>
      <c r="C225" s="58"/>
      <c r="D225" s="58" t="s">
        <v>396</v>
      </c>
      <c r="E225" s="58" t="s">
        <v>1531</v>
      </c>
      <c r="F225" s="58" t="s">
        <v>337</v>
      </c>
      <c r="G225" s="58">
        <v>0</v>
      </c>
      <c r="H225" s="59">
        <v>37321662.270000003</v>
      </c>
      <c r="I225" s="60">
        <v>0</v>
      </c>
      <c r="J225" s="59">
        <v>37321662.270000003</v>
      </c>
      <c r="K225" s="61" t="s">
        <v>330</v>
      </c>
      <c r="L225" s="62" t="s">
        <v>330</v>
      </c>
    </row>
    <row r="226" spans="1:12" x14ac:dyDescent="0.25">
      <c r="A226" s="57" t="s">
        <v>1530</v>
      </c>
      <c r="B226" s="58" t="s">
        <v>1520</v>
      </c>
      <c r="C226" s="58" t="s">
        <v>1529</v>
      </c>
      <c r="D226" s="58" t="s">
        <v>396</v>
      </c>
      <c r="E226" s="58" t="s">
        <v>1528</v>
      </c>
      <c r="F226" s="58" t="s">
        <v>424</v>
      </c>
      <c r="G226" s="58">
        <v>0</v>
      </c>
      <c r="H226" s="59">
        <v>41437913.380000003</v>
      </c>
      <c r="I226" s="60">
        <v>0</v>
      </c>
      <c r="J226" s="59">
        <v>41437913.380000003</v>
      </c>
      <c r="K226" s="63">
        <v>45202</v>
      </c>
      <c r="L226" s="62" t="s">
        <v>330</v>
      </c>
    </row>
    <row r="227" spans="1:12" x14ac:dyDescent="0.25">
      <c r="A227" s="57" t="s">
        <v>1527</v>
      </c>
      <c r="B227" s="58" t="s">
        <v>1520</v>
      </c>
      <c r="C227" s="58" t="s">
        <v>1526</v>
      </c>
      <c r="D227" s="58" t="s">
        <v>396</v>
      </c>
      <c r="E227" s="58" t="s">
        <v>1525</v>
      </c>
      <c r="F227" s="58" t="s">
        <v>424</v>
      </c>
      <c r="G227" s="58">
        <v>0</v>
      </c>
      <c r="H227" s="59">
        <v>46139599.82</v>
      </c>
      <c r="I227" s="60">
        <v>0</v>
      </c>
      <c r="J227" s="59">
        <v>46139599.82</v>
      </c>
      <c r="K227" s="61" t="s">
        <v>330</v>
      </c>
      <c r="L227" s="62" t="s">
        <v>330</v>
      </c>
    </row>
    <row r="228" spans="1:12" x14ac:dyDescent="0.25">
      <c r="A228" s="57" t="s">
        <v>1524</v>
      </c>
      <c r="B228" s="58" t="s">
        <v>1520</v>
      </c>
      <c r="C228" s="58" t="s">
        <v>1523</v>
      </c>
      <c r="D228" s="58" t="s">
        <v>396</v>
      </c>
      <c r="E228" s="58" t="s">
        <v>1522</v>
      </c>
      <c r="F228" s="58" t="s">
        <v>56</v>
      </c>
      <c r="G228" s="58">
        <v>2.3099999999999999E-2</v>
      </c>
      <c r="H228" s="59">
        <v>47613937.280000001</v>
      </c>
      <c r="I228" s="60">
        <v>1097652.31</v>
      </c>
      <c r="J228" s="59">
        <v>46516284.969999999</v>
      </c>
      <c r="K228" s="63">
        <v>45092</v>
      </c>
      <c r="L228" s="62" t="s">
        <v>330</v>
      </c>
    </row>
    <row r="229" spans="1:12" x14ac:dyDescent="0.25">
      <c r="A229" s="57" t="s">
        <v>1521</v>
      </c>
      <c r="B229" s="58" t="s">
        <v>1520</v>
      </c>
      <c r="C229" s="58" t="s">
        <v>1519</v>
      </c>
      <c r="D229" s="58" t="s">
        <v>396</v>
      </c>
      <c r="E229" s="58" t="s">
        <v>1518</v>
      </c>
      <c r="F229" s="58" t="s">
        <v>1517</v>
      </c>
      <c r="G229" s="58">
        <v>8.2100000000000006E-2</v>
      </c>
      <c r="H229" s="59">
        <v>248749950.11000001</v>
      </c>
      <c r="I229" s="60">
        <v>20418390.879999999</v>
      </c>
      <c r="J229" s="59">
        <v>228331559.23000002</v>
      </c>
      <c r="K229" s="63">
        <v>44995</v>
      </c>
      <c r="L229" s="62" t="s">
        <v>330</v>
      </c>
    </row>
    <row r="230" spans="1:12" x14ac:dyDescent="0.25">
      <c r="A230" s="57" t="s">
        <v>1516</v>
      </c>
      <c r="B230" s="58" t="s">
        <v>1505</v>
      </c>
      <c r="C230" s="58"/>
      <c r="D230" s="58" t="s">
        <v>332</v>
      </c>
      <c r="E230" s="58" t="s">
        <v>1515</v>
      </c>
      <c r="F230" s="58" t="s">
        <v>337</v>
      </c>
      <c r="G230" s="58">
        <v>0</v>
      </c>
      <c r="H230" s="59">
        <v>2102873.46</v>
      </c>
      <c r="I230" s="60">
        <v>0</v>
      </c>
      <c r="J230" s="59">
        <v>2102873.46</v>
      </c>
      <c r="K230" s="61" t="s">
        <v>330</v>
      </c>
      <c r="L230" s="62" t="s">
        <v>330</v>
      </c>
    </row>
    <row r="231" spans="1:12" x14ac:dyDescent="0.25">
      <c r="A231" s="57" t="s">
        <v>1514</v>
      </c>
      <c r="B231" s="58" t="s">
        <v>1505</v>
      </c>
      <c r="C231" s="58"/>
      <c r="D231" s="58" t="s">
        <v>332</v>
      </c>
      <c r="E231" s="58" t="s">
        <v>1513</v>
      </c>
      <c r="F231" s="58" t="s">
        <v>337</v>
      </c>
      <c r="G231" s="58">
        <v>0</v>
      </c>
      <c r="H231" s="59">
        <v>2128747.98</v>
      </c>
      <c r="I231" s="60">
        <v>0</v>
      </c>
      <c r="J231" s="59">
        <v>2128747.98</v>
      </c>
      <c r="K231" s="61" t="s">
        <v>330</v>
      </c>
      <c r="L231" s="62" t="s">
        <v>330</v>
      </c>
    </row>
    <row r="232" spans="1:12" x14ac:dyDescent="0.25">
      <c r="A232" s="57" t="s">
        <v>1512</v>
      </c>
      <c r="B232" s="58" t="s">
        <v>1505</v>
      </c>
      <c r="C232" s="58"/>
      <c r="D232" s="58" t="s">
        <v>339</v>
      </c>
      <c r="E232" s="58" t="s">
        <v>1511</v>
      </c>
      <c r="F232" s="58" t="s">
        <v>337</v>
      </c>
      <c r="G232" s="58">
        <v>0</v>
      </c>
      <c r="H232" s="59">
        <v>2916312.55</v>
      </c>
      <c r="I232" s="60">
        <v>0</v>
      </c>
      <c r="J232" s="59">
        <v>2916312.55</v>
      </c>
      <c r="K232" s="61" t="s">
        <v>330</v>
      </c>
      <c r="L232" s="62" t="s">
        <v>330</v>
      </c>
    </row>
    <row r="233" spans="1:12" x14ac:dyDescent="0.25">
      <c r="A233" s="57" t="s">
        <v>1510</v>
      </c>
      <c r="B233" s="58" t="s">
        <v>1505</v>
      </c>
      <c r="C233" s="58"/>
      <c r="D233" s="58" t="s">
        <v>332</v>
      </c>
      <c r="E233" s="58" t="s">
        <v>1509</v>
      </c>
      <c r="F233" s="58" t="s">
        <v>337</v>
      </c>
      <c r="G233" s="58">
        <v>0</v>
      </c>
      <c r="H233" s="59">
        <v>4033758.11</v>
      </c>
      <c r="I233" s="60">
        <v>0</v>
      </c>
      <c r="J233" s="59">
        <v>4033758.11</v>
      </c>
      <c r="K233" s="61" t="s">
        <v>330</v>
      </c>
      <c r="L233" s="62" t="s">
        <v>330</v>
      </c>
    </row>
    <row r="234" spans="1:12" x14ac:dyDescent="0.25">
      <c r="A234" s="57" t="s">
        <v>1508</v>
      </c>
      <c r="B234" s="58" t="s">
        <v>1505</v>
      </c>
      <c r="C234" s="58"/>
      <c r="D234" s="58" t="s">
        <v>332</v>
      </c>
      <c r="E234" s="58" t="s">
        <v>1507</v>
      </c>
      <c r="F234" s="58" t="s">
        <v>337</v>
      </c>
      <c r="G234" s="58">
        <v>0</v>
      </c>
      <c r="H234" s="59">
        <v>4118313.58</v>
      </c>
      <c r="I234" s="60">
        <v>0</v>
      </c>
      <c r="J234" s="59">
        <v>4118313.58</v>
      </c>
      <c r="K234" s="61" t="s">
        <v>330</v>
      </c>
      <c r="L234" s="62" t="s">
        <v>330</v>
      </c>
    </row>
    <row r="235" spans="1:12" x14ac:dyDescent="0.25">
      <c r="A235" s="57" t="s">
        <v>1506</v>
      </c>
      <c r="B235" s="58" t="s">
        <v>1505</v>
      </c>
      <c r="C235" s="58"/>
      <c r="D235" s="58" t="s">
        <v>339</v>
      </c>
      <c r="E235" s="58" t="s">
        <v>1504</v>
      </c>
      <c r="F235" s="58" t="s">
        <v>337</v>
      </c>
      <c r="G235" s="58">
        <v>0</v>
      </c>
      <c r="H235" s="59">
        <v>54776097.960000001</v>
      </c>
      <c r="I235" s="60">
        <v>0</v>
      </c>
      <c r="J235" s="59">
        <v>54776097.960000001</v>
      </c>
      <c r="K235" s="61" t="s">
        <v>330</v>
      </c>
      <c r="L235" s="62" t="s">
        <v>330</v>
      </c>
    </row>
    <row r="236" spans="1:12" x14ac:dyDescent="0.25">
      <c r="A236" s="57" t="s">
        <v>1503</v>
      </c>
      <c r="B236" s="58" t="s">
        <v>1502</v>
      </c>
      <c r="C236" s="58"/>
      <c r="D236" s="58" t="s">
        <v>339</v>
      </c>
      <c r="E236" s="58" t="s">
        <v>1501</v>
      </c>
      <c r="F236" s="58" t="s">
        <v>337</v>
      </c>
      <c r="G236" s="58">
        <v>0</v>
      </c>
      <c r="H236" s="59">
        <v>2083721.39</v>
      </c>
      <c r="I236" s="60">
        <v>0</v>
      </c>
      <c r="J236" s="59">
        <v>2083721.39</v>
      </c>
      <c r="K236" s="61" t="s">
        <v>330</v>
      </c>
      <c r="L236" s="62" t="s">
        <v>330</v>
      </c>
    </row>
    <row r="237" spans="1:12" x14ac:dyDescent="0.25">
      <c r="A237" s="57" t="s">
        <v>1500</v>
      </c>
      <c r="B237" s="58" t="s">
        <v>1499</v>
      </c>
      <c r="C237" s="58"/>
      <c r="D237" s="58" t="s">
        <v>332</v>
      </c>
      <c r="E237" s="58" t="s">
        <v>1498</v>
      </c>
      <c r="F237" s="58" t="s">
        <v>337</v>
      </c>
      <c r="G237" s="58">
        <v>0</v>
      </c>
      <c r="H237" s="59">
        <v>1014006</v>
      </c>
      <c r="I237" s="60">
        <v>0</v>
      </c>
      <c r="J237" s="59">
        <v>1014006</v>
      </c>
      <c r="K237" s="61" t="s">
        <v>330</v>
      </c>
      <c r="L237" s="62" t="s">
        <v>330</v>
      </c>
    </row>
    <row r="238" spans="1:12" x14ac:dyDescent="0.25">
      <c r="A238" s="57" t="s">
        <v>1497</v>
      </c>
      <c r="B238" s="58" t="s">
        <v>176</v>
      </c>
      <c r="C238" s="58"/>
      <c r="D238" s="58" t="s">
        <v>332</v>
      </c>
      <c r="E238" s="58" t="s">
        <v>1496</v>
      </c>
      <c r="F238" s="58" t="s">
        <v>337</v>
      </c>
      <c r="G238" s="58">
        <v>0</v>
      </c>
      <c r="H238" s="59">
        <v>0</v>
      </c>
      <c r="I238" s="60">
        <v>0</v>
      </c>
      <c r="J238" s="59">
        <v>0</v>
      </c>
      <c r="K238" s="61" t="s">
        <v>330</v>
      </c>
      <c r="L238" s="62" t="s">
        <v>330</v>
      </c>
    </row>
    <row r="239" spans="1:12" x14ac:dyDescent="0.25">
      <c r="A239" s="57" t="s">
        <v>1495</v>
      </c>
      <c r="B239" s="58" t="s">
        <v>176</v>
      </c>
      <c r="C239" s="58"/>
      <c r="D239" s="58" t="s">
        <v>396</v>
      </c>
      <c r="E239" s="58" t="s">
        <v>1494</v>
      </c>
      <c r="F239" s="58" t="s">
        <v>337</v>
      </c>
      <c r="G239" s="58">
        <v>0</v>
      </c>
      <c r="H239" s="59">
        <v>1004258.5</v>
      </c>
      <c r="I239" s="60">
        <v>0</v>
      </c>
      <c r="J239" s="59">
        <v>1004258.5</v>
      </c>
      <c r="K239" s="61" t="s">
        <v>330</v>
      </c>
      <c r="L239" s="62" t="s">
        <v>330</v>
      </c>
    </row>
    <row r="240" spans="1:12" x14ac:dyDescent="0.25">
      <c r="A240" s="57" t="s">
        <v>175</v>
      </c>
      <c r="B240" s="58" t="s">
        <v>176</v>
      </c>
      <c r="C240" s="58" t="s">
        <v>1493</v>
      </c>
      <c r="D240" s="58" t="s">
        <v>7</v>
      </c>
      <c r="E240" s="58" t="s">
        <v>1492</v>
      </c>
      <c r="F240" s="58" t="s">
        <v>1491</v>
      </c>
      <c r="G240" s="58">
        <v>0.97540000000000004</v>
      </c>
      <c r="H240" s="59">
        <v>56189486.280000001</v>
      </c>
      <c r="I240" s="60">
        <v>54809333.5</v>
      </c>
      <c r="J240" s="59">
        <v>1380152.7800000012</v>
      </c>
      <c r="K240" s="63">
        <v>45035</v>
      </c>
      <c r="L240" s="64">
        <v>46360</v>
      </c>
    </row>
    <row r="241" spans="1:12" x14ac:dyDescent="0.25">
      <c r="A241" s="57" t="s">
        <v>1490</v>
      </c>
      <c r="B241" s="58" t="s">
        <v>176</v>
      </c>
      <c r="C241" s="58"/>
      <c r="D241" s="58" t="s">
        <v>396</v>
      </c>
      <c r="E241" s="58" t="s">
        <v>1489</v>
      </c>
      <c r="F241" s="58" t="s">
        <v>337</v>
      </c>
      <c r="G241" s="58">
        <v>0</v>
      </c>
      <c r="H241" s="59">
        <v>2374069.9</v>
      </c>
      <c r="I241" s="60">
        <v>0</v>
      </c>
      <c r="J241" s="59">
        <v>2374069.9</v>
      </c>
      <c r="K241" s="61" t="s">
        <v>330</v>
      </c>
      <c r="L241" s="62" t="s">
        <v>330</v>
      </c>
    </row>
    <row r="242" spans="1:12" x14ac:dyDescent="0.25">
      <c r="A242" s="57" t="s">
        <v>1488</v>
      </c>
      <c r="B242" s="58" t="s">
        <v>176</v>
      </c>
      <c r="C242" s="58"/>
      <c r="D242" s="58" t="s">
        <v>396</v>
      </c>
      <c r="E242" s="58" t="s">
        <v>1487</v>
      </c>
      <c r="F242" s="58" t="s">
        <v>337</v>
      </c>
      <c r="G242" s="58">
        <v>0</v>
      </c>
      <c r="H242" s="59">
        <v>25667259.420000002</v>
      </c>
      <c r="I242" s="60">
        <v>0</v>
      </c>
      <c r="J242" s="59">
        <v>25667259.420000002</v>
      </c>
      <c r="K242" s="61" t="s">
        <v>330</v>
      </c>
      <c r="L242" s="62" t="s">
        <v>330</v>
      </c>
    </row>
    <row r="243" spans="1:12" x14ac:dyDescent="0.25">
      <c r="A243" s="57" t="s">
        <v>1486</v>
      </c>
      <c r="B243" s="58" t="s">
        <v>176</v>
      </c>
      <c r="C243" s="58"/>
      <c r="D243" s="58" t="s">
        <v>396</v>
      </c>
      <c r="E243" s="58" t="s">
        <v>1485</v>
      </c>
      <c r="F243" s="58" t="s">
        <v>337</v>
      </c>
      <c r="G243" s="58">
        <v>0</v>
      </c>
      <c r="H243" s="59">
        <v>38448033.409999996</v>
      </c>
      <c r="I243" s="60">
        <v>0</v>
      </c>
      <c r="J243" s="59">
        <v>38448033.409999996</v>
      </c>
      <c r="K243" s="61" t="s">
        <v>330</v>
      </c>
      <c r="L243" s="62" t="s">
        <v>330</v>
      </c>
    </row>
    <row r="244" spans="1:12" x14ac:dyDescent="0.25">
      <c r="A244" s="57" t="s">
        <v>1484</v>
      </c>
      <c r="B244" s="58" t="s">
        <v>176</v>
      </c>
      <c r="C244" s="58"/>
      <c r="D244" s="58" t="s">
        <v>396</v>
      </c>
      <c r="E244" s="58" t="s">
        <v>1483</v>
      </c>
      <c r="F244" s="58" t="s">
        <v>337</v>
      </c>
      <c r="G244" s="58">
        <v>0</v>
      </c>
      <c r="H244" s="59">
        <v>41995344.829999998</v>
      </c>
      <c r="I244" s="60">
        <v>0</v>
      </c>
      <c r="J244" s="59">
        <v>41995344.829999998</v>
      </c>
      <c r="K244" s="61" t="s">
        <v>330</v>
      </c>
      <c r="L244" s="62" t="s">
        <v>330</v>
      </c>
    </row>
    <row r="245" spans="1:12" x14ac:dyDescent="0.25">
      <c r="A245" s="57" t="s">
        <v>1482</v>
      </c>
      <c r="B245" s="58" t="s">
        <v>1479</v>
      </c>
      <c r="C245" s="58"/>
      <c r="D245" s="58" t="s">
        <v>332</v>
      </c>
      <c r="E245" s="58" t="s">
        <v>1481</v>
      </c>
      <c r="F245" s="58" t="s">
        <v>337</v>
      </c>
      <c r="G245" s="58">
        <v>0</v>
      </c>
      <c r="H245" s="59">
        <v>3643943.87</v>
      </c>
      <c r="I245" s="60">
        <v>0</v>
      </c>
      <c r="J245" s="59">
        <v>3643943.87</v>
      </c>
      <c r="K245" s="61" t="s">
        <v>330</v>
      </c>
      <c r="L245" s="62" t="s">
        <v>330</v>
      </c>
    </row>
    <row r="246" spans="1:12" x14ac:dyDescent="0.25">
      <c r="A246" s="57" t="s">
        <v>1480</v>
      </c>
      <c r="B246" s="58" t="s">
        <v>1479</v>
      </c>
      <c r="C246" s="58"/>
      <c r="D246" s="58" t="s">
        <v>332</v>
      </c>
      <c r="E246" s="58" t="s">
        <v>1478</v>
      </c>
      <c r="F246" s="58" t="s">
        <v>337</v>
      </c>
      <c r="G246" s="58">
        <v>0</v>
      </c>
      <c r="H246" s="59">
        <v>25332540.57</v>
      </c>
      <c r="I246" s="60">
        <v>0</v>
      </c>
      <c r="J246" s="59">
        <v>25332540.57</v>
      </c>
      <c r="K246" s="61" t="s">
        <v>330</v>
      </c>
      <c r="L246" s="62" t="s">
        <v>330</v>
      </c>
    </row>
    <row r="247" spans="1:12" x14ac:dyDescent="0.25">
      <c r="A247" s="57" t="s">
        <v>14</v>
      </c>
      <c r="B247" s="58" t="s">
        <v>17</v>
      </c>
      <c r="C247" s="58" t="s">
        <v>1477</v>
      </c>
      <c r="D247" s="58" t="s">
        <v>355</v>
      </c>
      <c r="E247" s="58" t="s">
        <v>1476</v>
      </c>
      <c r="F247" s="58" t="s">
        <v>871</v>
      </c>
      <c r="G247" s="58">
        <v>1</v>
      </c>
      <c r="H247" s="59">
        <v>4374443.78</v>
      </c>
      <c r="I247" s="60">
        <v>4374443.78</v>
      </c>
      <c r="J247" s="59">
        <v>0</v>
      </c>
      <c r="K247" s="63">
        <v>44707</v>
      </c>
      <c r="L247" s="64">
        <v>45488</v>
      </c>
    </row>
    <row r="248" spans="1:12" x14ac:dyDescent="0.25">
      <c r="A248" s="57" t="s">
        <v>1475</v>
      </c>
      <c r="B248" s="58" t="s">
        <v>17</v>
      </c>
      <c r="C248" s="58"/>
      <c r="D248" s="58" t="s">
        <v>332</v>
      </c>
      <c r="E248" s="58" t="s">
        <v>1474</v>
      </c>
      <c r="F248" s="58" t="s">
        <v>337</v>
      </c>
      <c r="G248" s="58">
        <v>0</v>
      </c>
      <c r="H248" s="59">
        <v>0</v>
      </c>
      <c r="I248" s="60">
        <v>0</v>
      </c>
      <c r="J248" s="59">
        <v>0</v>
      </c>
      <c r="K248" s="61" t="s">
        <v>330</v>
      </c>
      <c r="L248" s="62" t="s">
        <v>330</v>
      </c>
    </row>
    <row r="249" spans="1:12" x14ac:dyDescent="0.25">
      <c r="A249" s="57" t="s">
        <v>1473</v>
      </c>
      <c r="B249" s="58" t="s">
        <v>17</v>
      </c>
      <c r="C249" s="58"/>
      <c r="D249" s="58" t="s">
        <v>332</v>
      </c>
      <c r="E249" s="58" t="s">
        <v>1472</v>
      </c>
      <c r="F249" s="58" t="s">
        <v>337</v>
      </c>
      <c r="G249" s="58">
        <v>0</v>
      </c>
      <c r="H249" s="59">
        <v>0</v>
      </c>
      <c r="I249" s="60">
        <v>0</v>
      </c>
      <c r="J249" s="59">
        <v>0</v>
      </c>
      <c r="K249" s="61" t="s">
        <v>330</v>
      </c>
      <c r="L249" s="62" t="s">
        <v>330</v>
      </c>
    </row>
    <row r="250" spans="1:12" x14ac:dyDescent="0.25">
      <c r="A250" s="57" t="s">
        <v>320</v>
      </c>
      <c r="B250" s="58" t="s">
        <v>17</v>
      </c>
      <c r="C250" s="58" t="s">
        <v>1471</v>
      </c>
      <c r="D250" s="58" t="s">
        <v>355</v>
      </c>
      <c r="E250" s="58" t="s">
        <v>1470</v>
      </c>
      <c r="F250" s="58" t="s">
        <v>1194</v>
      </c>
      <c r="G250" s="58">
        <v>0.99939999999999996</v>
      </c>
      <c r="H250" s="59">
        <v>14995089.279999999</v>
      </c>
      <c r="I250" s="60">
        <v>14985558.449999999</v>
      </c>
      <c r="J250" s="59">
        <v>9530.8300000000745</v>
      </c>
      <c r="K250" s="63">
        <v>44719</v>
      </c>
      <c r="L250" s="64">
        <v>45476</v>
      </c>
    </row>
    <row r="251" spans="1:12" x14ac:dyDescent="0.25">
      <c r="A251" s="57" t="s">
        <v>126</v>
      </c>
      <c r="B251" s="58" t="s">
        <v>17</v>
      </c>
      <c r="C251" s="58" t="s">
        <v>1469</v>
      </c>
      <c r="D251" s="58" t="s">
        <v>45</v>
      </c>
      <c r="E251" s="58" t="s">
        <v>1468</v>
      </c>
      <c r="F251" s="58" t="s">
        <v>871</v>
      </c>
      <c r="G251" s="58">
        <v>0.86519999999999997</v>
      </c>
      <c r="H251" s="59">
        <v>8463890.9399999995</v>
      </c>
      <c r="I251" s="60">
        <v>7322834.1200000001</v>
      </c>
      <c r="J251" s="59">
        <v>1141056.8199999994</v>
      </c>
      <c r="K251" s="63">
        <v>44688</v>
      </c>
      <c r="L251" s="64">
        <v>46045</v>
      </c>
    </row>
    <row r="252" spans="1:12" x14ac:dyDescent="0.25">
      <c r="A252" s="57" t="s">
        <v>1467</v>
      </c>
      <c r="B252" s="58" t="s">
        <v>17</v>
      </c>
      <c r="C252" s="58"/>
      <c r="D252" s="58" t="s">
        <v>332</v>
      </c>
      <c r="E252" s="58" t="s">
        <v>1466</v>
      </c>
      <c r="F252" s="58" t="s">
        <v>337</v>
      </c>
      <c r="G252" s="58">
        <v>0</v>
      </c>
      <c r="H252" s="59">
        <v>1970362.08</v>
      </c>
      <c r="I252" s="60">
        <v>0</v>
      </c>
      <c r="J252" s="59">
        <v>1970362.08</v>
      </c>
      <c r="K252" s="61" t="s">
        <v>330</v>
      </c>
      <c r="L252" s="62" t="s">
        <v>330</v>
      </c>
    </row>
    <row r="253" spans="1:12" x14ac:dyDescent="0.25">
      <c r="A253" s="57" t="s">
        <v>1465</v>
      </c>
      <c r="B253" s="58" t="s">
        <v>17</v>
      </c>
      <c r="C253" s="58"/>
      <c r="D253" s="58" t="s">
        <v>332</v>
      </c>
      <c r="E253" s="58" t="s">
        <v>1464</v>
      </c>
      <c r="F253" s="58" t="s">
        <v>337</v>
      </c>
      <c r="G253" s="58">
        <v>0</v>
      </c>
      <c r="H253" s="59">
        <v>3115865.32</v>
      </c>
      <c r="I253" s="60">
        <v>0</v>
      </c>
      <c r="J253" s="59">
        <v>3115865.32</v>
      </c>
      <c r="K253" s="61" t="s">
        <v>330</v>
      </c>
      <c r="L253" s="62" t="s">
        <v>330</v>
      </c>
    </row>
    <row r="254" spans="1:12" x14ac:dyDescent="0.25">
      <c r="A254" s="57" t="s">
        <v>1463</v>
      </c>
      <c r="B254" s="58" t="s">
        <v>17</v>
      </c>
      <c r="C254" s="58"/>
      <c r="D254" s="58" t="s">
        <v>332</v>
      </c>
      <c r="E254" s="58" t="s">
        <v>1462</v>
      </c>
      <c r="F254" s="58" t="s">
        <v>337</v>
      </c>
      <c r="G254" s="58">
        <v>0</v>
      </c>
      <c r="H254" s="59">
        <v>3454191.46</v>
      </c>
      <c r="I254" s="60">
        <v>0</v>
      </c>
      <c r="J254" s="59">
        <v>3454191.46</v>
      </c>
      <c r="K254" s="61" t="s">
        <v>330</v>
      </c>
      <c r="L254" s="62" t="s">
        <v>330</v>
      </c>
    </row>
    <row r="255" spans="1:12" x14ac:dyDescent="0.25">
      <c r="A255" s="57" t="s">
        <v>1461</v>
      </c>
      <c r="B255" s="58" t="s">
        <v>17</v>
      </c>
      <c r="C255" s="58"/>
      <c r="D255" s="58" t="s">
        <v>332</v>
      </c>
      <c r="E255" s="58" t="s">
        <v>1460</v>
      </c>
      <c r="F255" s="58" t="s">
        <v>337</v>
      </c>
      <c r="G255" s="58">
        <v>0</v>
      </c>
      <c r="H255" s="59">
        <v>3477671.34</v>
      </c>
      <c r="I255" s="60">
        <v>0</v>
      </c>
      <c r="J255" s="59">
        <v>3477671.34</v>
      </c>
      <c r="K255" s="61" t="s">
        <v>330</v>
      </c>
      <c r="L255" s="62" t="s">
        <v>330</v>
      </c>
    </row>
    <row r="256" spans="1:12" x14ac:dyDescent="0.25">
      <c r="A256" s="57" t="s">
        <v>1459</v>
      </c>
      <c r="B256" s="58" t="s">
        <v>17</v>
      </c>
      <c r="C256" s="58"/>
      <c r="D256" s="58" t="s">
        <v>367</v>
      </c>
      <c r="E256" s="58" t="s">
        <v>1458</v>
      </c>
      <c r="F256" s="58" t="s">
        <v>337</v>
      </c>
      <c r="G256" s="58">
        <v>0</v>
      </c>
      <c r="H256" s="59">
        <v>4466095</v>
      </c>
      <c r="I256" s="60">
        <v>0</v>
      </c>
      <c r="J256" s="59">
        <v>4466095</v>
      </c>
      <c r="K256" s="61" t="s">
        <v>330</v>
      </c>
      <c r="L256" s="62" t="s">
        <v>330</v>
      </c>
    </row>
    <row r="257" spans="1:12" x14ac:dyDescent="0.25">
      <c r="A257" s="57" t="s">
        <v>1457</v>
      </c>
      <c r="B257" s="58" t="s">
        <v>17</v>
      </c>
      <c r="C257" s="58"/>
      <c r="D257" s="58" t="s">
        <v>339</v>
      </c>
      <c r="E257" s="58" t="s">
        <v>1456</v>
      </c>
      <c r="F257" s="58" t="s">
        <v>337</v>
      </c>
      <c r="G257" s="58">
        <v>0</v>
      </c>
      <c r="H257" s="59">
        <v>7381220.3099999996</v>
      </c>
      <c r="I257" s="60">
        <v>0</v>
      </c>
      <c r="J257" s="59">
        <v>7381220.3099999996</v>
      </c>
      <c r="K257" s="61" t="s">
        <v>330</v>
      </c>
      <c r="L257" s="62" t="s">
        <v>330</v>
      </c>
    </row>
    <row r="258" spans="1:12" x14ac:dyDescent="0.25">
      <c r="A258" s="57" t="s">
        <v>23</v>
      </c>
      <c r="B258" s="58" t="s">
        <v>17</v>
      </c>
      <c r="C258" s="58" t="s">
        <v>394</v>
      </c>
      <c r="D258" s="58" t="s">
        <v>426</v>
      </c>
      <c r="E258" s="58" t="s">
        <v>1455</v>
      </c>
      <c r="F258" s="58" t="s">
        <v>1454</v>
      </c>
      <c r="G258" s="58">
        <v>0.4113</v>
      </c>
      <c r="H258" s="59">
        <v>30477728.43</v>
      </c>
      <c r="I258" s="60">
        <v>12534756.699999999</v>
      </c>
      <c r="J258" s="59">
        <v>17942971.73</v>
      </c>
      <c r="K258" s="63">
        <v>44708</v>
      </c>
      <c r="L258" s="64">
        <v>45437</v>
      </c>
    </row>
    <row r="259" spans="1:12" x14ac:dyDescent="0.25">
      <c r="A259" s="57" t="s">
        <v>1453</v>
      </c>
      <c r="B259" s="58" t="s">
        <v>1449</v>
      </c>
      <c r="C259" s="58" t="s">
        <v>993</v>
      </c>
      <c r="D259" s="58" t="s">
        <v>396</v>
      </c>
      <c r="E259" s="58" t="s">
        <v>1452</v>
      </c>
      <c r="F259" s="58" t="s">
        <v>1451</v>
      </c>
      <c r="G259" s="58">
        <v>0</v>
      </c>
      <c r="H259" s="59">
        <v>6826495.1399999997</v>
      </c>
      <c r="I259" s="60">
        <v>0</v>
      </c>
      <c r="J259" s="59">
        <v>6826495.1399999997</v>
      </c>
      <c r="K259" s="63">
        <v>44783</v>
      </c>
      <c r="L259" s="62" t="s">
        <v>330</v>
      </c>
    </row>
    <row r="260" spans="1:12" x14ac:dyDescent="0.25">
      <c r="A260" s="57" t="s">
        <v>1450</v>
      </c>
      <c r="B260" s="58" t="s">
        <v>1449</v>
      </c>
      <c r="C260" s="58"/>
      <c r="D260" s="58" t="s">
        <v>332</v>
      </c>
      <c r="E260" s="58" t="s">
        <v>1448</v>
      </c>
      <c r="F260" s="58" t="s">
        <v>337</v>
      </c>
      <c r="G260" s="58">
        <v>0</v>
      </c>
      <c r="H260" s="59">
        <v>326002.84999999998</v>
      </c>
      <c r="I260" s="60">
        <v>0</v>
      </c>
      <c r="J260" s="59">
        <v>326002.84999999998</v>
      </c>
      <c r="K260" s="61" t="s">
        <v>330</v>
      </c>
      <c r="L260" s="62" t="s">
        <v>330</v>
      </c>
    </row>
    <row r="261" spans="1:12" x14ac:dyDescent="0.25">
      <c r="A261" s="57" t="s">
        <v>60</v>
      </c>
      <c r="B261" s="58" t="s">
        <v>62</v>
      </c>
      <c r="C261" s="58" t="s">
        <v>1196</v>
      </c>
      <c r="D261" s="58" t="s">
        <v>355</v>
      </c>
      <c r="E261" s="58" t="s">
        <v>1447</v>
      </c>
      <c r="F261" s="58" t="s">
        <v>1446</v>
      </c>
      <c r="G261" s="58">
        <v>0.97</v>
      </c>
      <c r="H261" s="59">
        <v>5722613.8700000001</v>
      </c>
      <c r="I261" s="60">
        <v>5551029.21</v>
      </c>
      <c r="J261" s="59">
        <v>171584.66000000015</v>
      </c>
      <c r="K261" s="63">
        <v>44727</v>
      </c>
      <c r="L261" s="64">
        <v>45489</v>
      </c>
    </row>
    <row r="262" spans="1:12" x14ac:dyDescent="0.25">
      <c r="A262" s="57" t="s">
        <v>1445</v>
      </c>
      <c r="B262" s="58" t="s">
        <v>62</v>
      </c>
      <c r="C262" s="58"/>
      <c r="D262" s="58" t="s">
        <v>332</v>
      </c>
      <c r="E262" s="58" t="s">
        <v>1444</v>
      </c>
      <c r="F262" s="58" t="s">
        <v>337</v>
      </c>
      <c r="G262" s="58">
        <v>0</v>
      </c>
      <c r="H262" s="59">
        <v>1797046.01</v>
      </c>
      <c r="I262" s="60">
        <v>0</v>
      </c>
      <c r="J262" s="59">
        <v>1797046.01</v>
      </c>
      <c r="K262" s="61" t="s">
        <v>330</v>
      </c>
      <c r="L262" s="62" t="s">
        <v>330</v>
      </c>
    </row>
    <row r="263" spans="1:12" x14ac:dyDescent="0.25">
      <c r="A263" s="57" t="s">
        <v>1443</v>
      </c>
      <c r="B263" s="58" t="s">
        <v>62</v>
      </c>
      <c r="C263" s="58" t="s">
        <v>575</v>
      </c>
      <c r="D263" s="58" t="s">
        <v>396</v>
      </c>
      <c r="E263" s="58" t="s">
        <v>1442</v>
      </c>
      <c r="F263" s="58" t="s">
        <v>424</v>
      </c>
      <c r="G263" s="58">
        <v>0.63429999999999997</v>
      </c>
      <c r="H263" s="59">
        <v>38203059.329999998</v>
      </c>
      <c r="I263" s="60">
        <v>24230884.300000001</v>
      </c>
      <c r="J263" s="59">
        <v>13972175.029999997</v>
      </c>
      <c r="K263" s="61" t="s">
        <v>330</v>
      </c>
      <c r="L263" s="62" t="s">
        <v>330</v>
      </c>
    </row>
    <row r="264" spans="1:12" x14ac:dyDescent="0.25">
      <c r="A264" s="57" t="s">
        <v>1441</v>
      </c>
      <c r="B264" s="58" t="s">
        <v>1434</v>
      </c>
      <c r="C264" s="58"/>
      <c r="D264" s="58" t="s">
        <v>332</v>
      </c>
      <c r="E264" s="58" t="s">
        <v>1440</v>
      </c>
      <c r="F264" s="58" t="s">
        <v>337</v>
      </c>
      <c r="G264" s="58">
        <v>0</v>
      </c>
      <c r="H264" s="59">
        <v>2690823.81</v>
      </c>
      <c r="I264" s="60">
        <v>0</v>
      </c>
      <c r="J264" s="59">
        <v>2690823.81</v>
      </c>
      <c r="K264" s="61" t="s">
        <v>330</v>
      </c>
      <c r="L264" s="62" t="s">
        <v>330</v>
      </c>
    </row>
    <row r="265" spans="1:12" x14ac:dyDescent="0.25">
      <c r="A265" s="57" t="s">
        <v>1439</v>
      </c>
      <c r="B265" s="58" t="s">
        <v>1434</v>
      </c>
      <c r="C265" s="58"/>
      <c r="D265" s="58" t="s">
        <v>396</v>
      </c>
      <c r="E265" s="58" t="s">
        <v>1438</v>
      </c>
      <c r="F265" s="58" t="s">
        <v>337</v>
      </c>
      <c r="G265" s="58">
        <v>0</v>
      </c>
      <c r="H265" s="59">
        <v>4433465.8099999996</v>
      </c>
      <c r="I265" s="60">
        <v>0</v>
      </c>
      <c r="J265" s="59">
        <v>4433465.8099999996</v>
      </c>
      <c r="K265" s="61" t="s">
        <v>330</v>
      </c>
      <c r="L265" s="62" t="s">
        <v>330</v>
      </c>
    </row>
    <row r="266" spans="1:12" x14ac:dyDescent="0.25">
      <c r="A266" s="57" t="s">
        <v>1437</v>
      </c>
      <c r="B266" s="58" t="s">
        <v>1434</v>
      </c>
      <c r="C266" s="58"/>
      <c r="D266" s="58" t="s">
        <v>396</v>
      </c>
      <c r="E266" s="58" t="s">
        <v>1436</v>
      </c>
      <c r="F266" s="58" t="s">
        <v>337</v>
      </c>
      <c r="G266" s="58">
        <v>0</v>
      </c>
      <c r="H266" s="59">
        <v>5961479.0199999996</v>
      </c>
      <c r="I266" s="60">
        <v>0</v>
      </c>
      <c r="J266" s="59">
        <v>5961479.0199999996</v>
      </c>
      <c r="K266" s="61" t="s">
        <v>330</v>
      </c>
      <c r="L266" s="62" t="s">
        <v>330</v>
      </c>
    </row>
    <row r="267" spans="1:12" x14ac:dyDescent="0.25">
      <c r="A267" s="57" t="s">
        <v>1435</v>
      </c>
      <c r="B267" s="58" t="s">
        <v>1434</v>
      </c>
      <c r="C267" s="58"/>
      <c r="D267" s="58" t="s">
        <v>367</v>
      </c>
      <c r="E267" s="58" t="s">
        <v>1433</v>
      </c>
      <c r="F267" s="58"/>
      <c r="G267" s="58">
        <v>0</v>
      </c>
      <c r="H267" s="59">
        <v>6368227.8300000001</v>
      </c>
      <c r="I267" s="60">
        <v>0</v>
      </c>
      <c r="J267" s="59">
        <v>6368227.8300000001</v>
      </c>
      <c r="K267" s="61" t="s">
        <v>330</v>
      </c>
      <c r="L267" s="62" t="s">
        <v>330</v>
      </c>
    </row>
    <row r="268" spans="1:12" x14ac:dyDescent="0.25">
      <c r="A268" s="57" t="s">
        <v>1432</v>
      </c>
      <c r="B268" s="58" t="s">
        <v>46</v>
      </c>
      <c r="C268" s="58"/>
      <c r="D268" s="58" t="s">
        <v>396</v>
      </c>
      <c r="E268" s="58" t="s">
        <v>1431</v>
      </c>
      <c r="F268" s="58" t="s">
        <v>337</v>
      </c>
      <c r="G268" s="58">
        <v>0</v>
      </c>
      <c r="H268" s="59">
        <v>8093646.3600000003</v>
      </c>
      <c r="I268" s="60">
        <v>0</v>
      </c>
      <c r="J268" s="59">
        <v>8093646.3600000003</v>
      </c>
      <c r="K268" s="61" t="s">
        <v>330</v>
      </c>
      <c r="L268" s="62" t="s">
        <v>330</v>
      </c>
    </row>
    <row r="269" spans="1:12" x14ac:dyDescent="0.25">
      <c r="A269" s="57" t="s">
        <v>44</v>
      </c>
      <c r="B269" s="58" t="s">
        <v>46</v>
      </c>
      <c r="C269" s="58" t="s">
        <v>1430</v>
      </c>
      <c r="D269" s="58" t="s">
        <v>426</v>
      </c>
      <c r="E269" s="58" t="s">
        <v>1429</v>
      </c>
      <c r="F269" s="58" t="s">
        <v>1428</v>
      </c>
      <c r="G269" s="58">
        <v>0.80920000000000003</v>
      </c>
      <c r="H269" s="59">
        <v>51359899.57</v>
      </c>
      <c r="I269" s="60">
        <v>41562191.240000002</v>
      </c>
      <c r="J269" s="59">
        <v>9797708.3299999982</v>
      </c>
      <c r="K269" s="63">
        <v>45105</v>
      </c>
      <c r="L269" s="64">
        <v>45769</v>
      </c>
    </row>
    <row r="270" spans="1:12" x14ac:dyDescent="0.25">
      <c r="A270" s="57" t="s">
        <v>1427</v>
      </c>
      <c r="B270" s="58" t="s">
        <v>46</v>
      </c>
      <c r="C270" s="58"/>
      <c r="D270" s="58" t="s">
        <v>339</v>
      </c>
      <c r="E270" s="58" t="s">
        <v>1426</v>
      </c>
      <c r="F270" s="58" t="s">
        <v>337</v>
      </c>
      <c r="G270" s="58">
        <v>0</v>
      </c>
      <c r="H270" s="59">
        <v>10686468.810000001</v>
      </c>
      <c r="I270" s="60">
        <v>0</v>
      </c>
      <c r="J270" s="59">
        <v>10686468.810000001</v>
      </c>
      <c r="K270" s="61" t="s">
        <v>330</v>
      </c>
      <c r="L270" s="62" t="s">
        <v>330</v>
      </c>
    </row>
    <row r="271" spans="1:12" x14ac:dyDescent="0.25">
      <c r="A271" s="57" t="s">
        <v>1425</v>
      </c>
      <c r="B271" s="58" t="s">
        <v>46</v>
      </c>
      <c r="C271" s="58"/>
      <c r="D271" s="58" t="s">
        <v>396</v>
      </c>
      <c r="E271" s="58" t="s">
        <v>1424</v>
      </c>
      <c r="F271" s="58" t="s">
        <v>337</v>
      </c>
      <c r="G271" s="58">
        <v>0</v>
      </c>
      <c r="H271" s="59">
        <v>11043632.109999999</v>
      </c>
      <c r="I271" s="60">
        <v>0</v>
      </c>
      <c r="J271" s="59">
        <v>11043632.109999999</v>
      </c>
      <c r="K271" s="61" t="s">
        <v>330</v>
      </c>
      <c r="L271" s="62" t="s">
        <v>330</v>
      </c>
    </row>
    <row r="272" spans="1:12" x14ac:dyDescent="0.25">
      <c r="A272" s="57" t="s">
        <v>1423</v>
      </c>
      <c r="B272" s="58" t="s">
        <v>42</v>
      </c>
      <c r="C272" s="58" t="s">
        <v>1422</v>
      </c>
      <c r="D272" s="58" t="s">
        <v>355</v>
      </c>
      <c r="E272" s="58" t="s">
        <v>1421</v>
      </c>
      <c r="F272" s="58" t="s">
        <v>1056</v>
      </c>
      <c r="G272" s="58">
        <v>1</v>
      </c>
      <c r="H272" s="59">
        <v>6948720.1900000004</v>
      </c>
      <c r="I272" s="60">
        <v>6948720.1900000004</v>
      </c>
      <c r="J272" s="59">
        <v>0</v>
      </c>
      <c r="K272" s="63">
        <v>44882</v>
      </c>
      <c r="L272" s="64">
        <v>45147</v>
      </c>
    </row>
    <row r="273" spans="1:12" x14ac:dyDescent="0.25">
      <c r="A273" s="57" t="s">
        <v>41</v>
      </c>
      <c r="B273" s="58" t="s">
        <v>42</v>
      </c>
      <c r="C273" s="58" t="s">
        <v>1420</v>
      </c>
      <c r="D273" s="58" t="s">
        <v>355</v>
      </c>
      <c r="E273" s="58" t="s">
        <v>1419</v>
      </c>
      <c r="F273" s="58" t="s">
        <v>1418</v>
      </c>
      <c r="G273" s="58">
        <v>0.97659999999999991</v>
      </c>
      <c r="H273" s="59">
        <v>3107538.75</v>
      </c>
      <c r="I273" s="60">
        <v>3034704.58</v>
      </c>
      <c r="J273" s="59">
        <v>72834.169999999925</v>
      </c>
      <c r="K273" s="63">
        <v>44536</v>
      </c>
      <c r="L273" s="64">
        <v>45386</v>
      </c>
    </row>
    <row r="274" spans="1:12" x14ac:dyDescent="0.25">
      <c r="A274" s="57" t="s">
        <v>1417</v>
      </c>
      <c r="B274" s="58" t="s">
        <v>42</v>
      </c>
      <c r="C274" s="58" t="s">
        <v>1416</v>
      </c>
      <c r="D274" s="58" t="s">
        <v>355</v>
      </c>
      <c r="E274" s="58" t="s">
        <v>1415</v>
      </c>
      <c r="F274" s="58" t="s">
        <v>1414</v>
      </c>
      <c r="G274" s="58">
        <v>0.9577</v>
      </c>
      <c r="H274" s="59">
        <v>2994510.29</v>
      </c>
      <c r="I274" s="60">
        <v>2867705.32</v>
      </c>
      <c r="J274" s="59">
        <v>126804.9700000002</v>
      </c>
      <c r="K274" s="63">
        <v>44804</v>
      </c>
      <c r="L274" s="64">
        <v>45208</v>
      </c>
    </row>
    <row r="275" spans="1:12" x14ac:dyDescent="0.25">
      <c r="A275" s="57" t="s">
        <v>304</v>
      </c>
      <c r="B275" s="58" t="s">
        <v>42</v>
      </c>
      <c r="C275" s="58" t="s">
        <v>1413</v>
      </c>
      <c r="D275" s="58" t="s">
        <v>355</v>
      </c>
      <c r="E275" s="58" t="s">
        <v>1412</v>
      </c>
      <c r="F275" s="58" t="s">
        <v>1411</v>
      </c>
      <c r="G275" s="58">
        <v>0.87870000000000004</v>
      </c>
      <c r="H275" s="59">
        <v>6519257.0499999998</v>
      </c>
      <c r="I275" s="60">
        <v>5728240.8600000003</v>
      </c>
      <c r="J275" s="59">
        <v>791016.18999999948</v>
      </c>
      <c r="K275" s="63">
        <v>44804</v>
      </c>
      <c r="L275" s="64">
        <v>45569</v>
      </c>
    </row>
    <row r="276" spans="1:12" x14ac:dyDescent="0.25">
      <c r="A276" s="57" t="s">
        <v>55</v>
      </c>
      <c r="B276" s="58" t="s">
        <v>42</v>
      </c>
      <c r="C276" s="58" t="s">
        <v>1410</v>
      </c>
      <c r="D276" s="58" t="s">
        <v>7</v>
      </c>
      <c r="E276" s="58" t="s">
        <v>1409</v>
      </c>
      <c r="F276" s="58" t="s">
        <v>56</v>
      </c>
      <c r="G276" s="58">
        <v>0.54500000000000004</v>
      </c>
      <c r="H276" s="59">
        <v>2069000</v>
      </c>
      <c r="I276" s="60">
        <v>1127516.06</v>
      </c>
      <c r="J276" s="59">
        <v>941483.94</v>
      </c>
      <c r="K276" s="63">
        <v>45972</v>
      </c>
      <c r="L276" s="64">
        <v>46167</v>
      </c>
    </row>
    <row r="277" spans="1:12" x14ac:dyDescent="0.25">
      <c r="A277" s="57" t="s">
        <v>72</v>
      </c>
      <c r="B277" s="58" t="s">
        <v>42</v>
      </c>
      <c r="C277" s="58" t="s">
        <v>584</v>
      </c>
      <c r="D277" s="58" t="s">
        <v>7</v>
      </c>
      <c r="E277" s="58" t="s">
        <v>1408</v>
      </c>
      <c r="F277" s="58" t="s">
        <v>424</v>
      </c>
      <c r="G277" s="58">
        <v>0.6604000000000001</v>
      </c>
      <c r="H277" s="59">
        <v>12950372.720000001</v>
      </c>
      <c r="I277" s="60">
        <v>8552770.9100000001</v>
      </c>
      <c r="J277" s="59">
        <v>4397601.8100000005</v>
      </c>
      <c r="K277" s="63">
        <v>44742</v>
      </c>
      <c r="L277" s="64">
        <v>46219</v>
      </c>
    </row>
    <row r="278" spans="1:12" x14ac:dyDescent="0.25">
      <c r="A278" s="57" t="s">
        <v>1407</v>
      </c>
      <c r="B278" s="58" t="s">
        <v>42</v>
      </c>
      <c r="C278" s="58"/>
      <c r="D278" s="58" t="s">
        <v>339</v>
      </c>
      <c r="E278" s="58" t="s">
        <v>1402</v>
      </c>
      <c r="F278" s="58" t="s">
        <v>337</v>
      </c>
      <c r="G278" s="58">
        <v>0</v>
      </c>
      <c r="H278" s="59">
        <v>9409089.4100000001</v>
      </c>
      <c r="I278" s="60">
        <v>0</v>
      </c>
      <c r="J278" s="59">
        <v>9409089.4100000001</v>
      </c>
      <c r="K278" s="61" t="s">
        <v>330</v>
      </c>
      <c r="L278" s="62" t="s">
        <v>330</v>
      </c>
    </row>
    <row r="279" spans="1:12" x14ac:dyDescent="0.25">
      <c r="A279" s="57" t="s">
        <v>1406</v>
      </c>
      <c r="B279" s="58" t="s">
        <v>42</v>
      </c>
      <c r="C279" s="58" t="s">
        <v>1405</v>
      </c>
      <c r="D279" s="58" t="s">
        <v>426</v>
      </c>
      <c r="E279" s="58" t="s">
        <v>1404</v>
      </c>
      <c r="F279" s="58" t="s">
        <v>1033</v>
      </c>
      <c r="G279" s="58">
        <v>0.47490000000000004</v>
      </c>
      <c r="H279" s="59">
        <v>18996888.260000002</v>
      </c>
      <c r="I279" s="60">
        <v>9021796.75</v>
      </c>
      <c r="J279" s="59">
        <v>9975091.5100000016</v>
      </c>
      <c r="K279" s="61" t="s">
        <v>330</v>
      </c>
      <c r="L279" s="62" t="s">
        <v>330</v>
      </c>
    </row>
    <row r="280" spans="1:12" x14ac:dyDescent="0.25">
      <c r="A280" s="57" t="s">
        <v>1403</v>
      </c>
      <c r="B280" s="58" t="s">
        <v>42</v>
      </c>
      <c r="C280" s="58"/>
      <c r="D280" s="58" t="s">
        <v>332</v>
      </c>
      <c r="E280" s="58" t="s">
        <v>1402</v>
      </c>
      <c r="F280" s="58"/>
      <c r="G280" s="58">
        <v>0</v>
      </c>
      <c r="H280" s="59">
        <v>13000381.689999999</v>
      </c>
      <c r="I280" s="60">
        <v>0</v>
      </c>
      <c r="J280" s="59">
        <v>13000381.689999999</v>
      </c>
      <c r="K280" s="61" t="s">
        <v>330</v>
      </c>
      <c r="L280" s="62" t="s">
        <v>330</v>
      </c>
    </row>
    <row r="281" spans="1:12" x14ac:dyDescent="0.25">
      <c r="A281" s="57" t="s">
        <v>1401</v>
      </c>
      <c r="B281" s="58" t="s">
        <v>42</v>
      </c>
      <c r="C281" s="58"/>
      <c r="D281" s="58" t="s">
        <v>332</v>
      </c>
      <c r="E281" s="58" t="s">
        <v>1400</v>
      </c>
      <c r="F281" s="58"/>
      <c r="G281" s="58">
        <v>0</v>
      </c>
      <c r="H281" s="59">
        <v>13000381.689999999</v>
      </c>
      <c r="I281" s="60">
        <v>0</v>
      </c>
      <c r="J281" s="59">
        <v>13000381.689999999</v>
      </c>
      <c r="K281" s="61" t="s">
        <v>330</v>
      </c>
      <c r="L281" s="62" t="s">
        <v>330</v>
      </c>
    </row>
    <row r="282" spans="1:12" x14ac:dyDescent="0.25">
      <c r="A282" s="57" t="s">
        <v>1399</v>
      </c>
      <c r="B282" s="58" t="s">
        <v>201</v>
      </c>
      <c r="C282" s="58"/>
      <c r="D282" s="58" t="s">
        <v>332</v>
      </c>
      <c r="E282" s="58" t="s">
        <v>1398</v>
      </c>
      <c r="F282" s="58" t="s">
        <v>337</v>
      </c>
      <c r="G282" s="58">
        <v>0</v>
      </c>
      <c r="H282" s="59">
        <v>0</v>
      </c>
      <c r="I282" s="60">
        <v>0</v>
      </c>
      <c r="J282" s="59">
        <v>0</v>
      </c>
      <c r="K282" s="61" t="s">
        <v>330</v>
      </c>
      <c r="L282" s="62" t="s">
        <v>330</v>
      </c>
    </row>
    <row r="283" spans="1:12" x14ac:dyDescent="0.25">
      <c r="A283" s="57" t="s">
        <v>1397</v>
      </c>
      <c r="B283" s="58" t="s">
        <v>201</v>
      </c>
      <c r="C283" s="58"/>
      <c r="D283" s="58" t="s">
        <v>332</v>
      </c>
      <c r="E283" s="58" t="s">
        <v>1396</v>
      </c>
      <c r="F283" s="58" t="s">
        <v>337</v>
      </c>
      <c r="G283" s="58">
        <v>0</v>
      </c>
      <c r="H283" s="59">
        <v>0</v>
      </c>
      <c r="I283" s="60">
        <v>0</v>
      </c>
      <c r="J283" s="59">
        <v>0</v>
      </c>
      <c r="K283" s="61" t="s">
        <v>330</v>
      </c>
      <c r="L283" s="62" t="s">
        <v>330</v>
      </c>
    </row>
    <row r="284" spans="1:12" x14ac:dyDescent="0.25">
      <c r="A284" s="57" t="s">
        <v>1395</v>
      </c>
      <c r="B284" s="58" t="s">
        <v>201</v>
      </c>
      <c r="C284" s="58"/>
      <c r="D284" s="58" t="s">
        <v>332</v>
      </c>
      <c r="E284" s="58" t="s">
        <v>1394</v>
      </c>
      <c r="F284" s="58" t="s">
        <v>337</v>
      </c>
      <c r="G284" s="58">
        <v>0</v>
      </c>
      <c r="H284" s="59">
        <v>0</v>
      </c>
      <c r="I284" s="60">
        <v>0</v>
      </c>
      <c r="J284" s="59">
        <v>0</v>
      </c>
      <c r="K284" s="61" t="s">
        <v>330</v>
      </c>
      <c r="L284" s="62" t="s">
        <v>330</v>
      </c>
    </row>
    <row r="285" spans="1:12" x14ac:dyDescent="0.25">
      <c r="A285" s="57" t="s">
        <v>1393</v>
      </c>
      <c r="B285" s="58" t="s">
        <v>201</v>
      </c>
      <c r="C285" s="58"/>
      <c r="D285" s="58" t="s">
        <v>332</v>
      </c>
      <c r="E285" s="58" t="s">
        <v>1392</v>
      </c>
      <c r="F285" s="58" t="s">
        <v>337</v>
      </c>
      <c r="G285" s="58">
        <v>0</v>
      </c>
      <c r="H285" s="59">
        <v>0</v>
      </c>
      <c r="I285" s="60">
        <v>0</v>
      </c>
      <c r="J285" s="59">
        <v>0</v>
      </c>
      <c r="K285" s="61" t="s">
        <v>330</v>
      </c>
      <c r="L285" s="62" t="s">
        <v>330</v>
      </c>
    </row>
    <row r="286" spans="1:12" x14ac:dyDescent="0.25">
      <c r="A286" s="57" t="s">
        <v>1391</v>
      </c>
      <c r="B286" s="58" t="s">
        <v>201</v>
      </c>
      <c r="C286" s="58"/>
      <c r="D286" s="58" t="s">
        <v>332</v>
      </c>
      <c r="E286" s="58" t="s">
        <v>1390</v>
      </c>
      <c r="F286" s="58" t="s">
        <v>337</v>
      </c>
      <c r="G286" s="58">
        <v>0</v>
      </c>
      <c r="H286" s="59">
        <v>0</v>
      </c>
      <c r="I286" s="60">
        <v>0</v>
      </c>
      <c r="J286" s="59">
        <v>0</v>
      </c>
      <c r="K286" s="61" t="s">
        <v>330</v>
      </c>
      <c r="L286" s="62" t="s">
        <v>330</v>
      </c>
    </row>
    <row r="287" spans="1:12" x14ac:dyDescent="0.25">
      <c r="A287" s="57" t="s">
        <v>1389</v>
      </c>
      <c r="B287" s="58" t="s">
        <v>201</v>
      </c>
      <c r="C287" s="58"/>
      <c r="D287" s="58" t="s">
        <v>332</v>
      </c>
      <c r="E287" s="58" t="s">
        <v>1388</v>
      </c>
      <c r="F287" s="58" t="s">
        <v>337</v>
      </c>
      <c r="G287" s="58">
        <v>0</v>
      </c>
      <c r="H287" s="59">
        <v>0</v>
      </c>
      <c r="I287" s="60">
        <v>0</v>
      </c>
      <c r="J287" s="59">
        <v>0</v>
      </c>
      <c r="K287" s="61" t="s">
        <v>330</v>
      </c>
      <c r="L287" s="62" t="s">
        <v>330</v>
      </c>
    </row>
    <row r="288" spans="1:12" x14ac:dyDescent="0.25">
      <c r="A288" s="57" t="s">
        <v>1387</v>
      </c>
      <c r="B288" s="58" t="s">
        <v>201</v>
      </c>
      <c r="C288" s="58"/>
      <c r="D288" s="58" t="s">
        <v>332</v>
      </c>
      <c r="E288" s="58" t="s">
        <v>1386</v>
      </c>
      <c r="F288" s="58" t="s">
        <v>337</v>
      </c>
      <c r="G288" s="58">
        <v>0</v>
      </c>
      <c r="H288" s="59">
        <v>0</v>
      </c>
      <c r="I288" s="60">
        <v>0</v>
      </c>
      <c r="J288" s="59">
        <v>0</v>
      </c>
      <c r="K288" s="61" t="s">
        <v>330</v>
      </c>
      <c r="L288" s="62" t="s">
        <v>330</v>
      </c>
    </row>
    <row r="289" spans="1:12" x14ac:dyDescent="0.25">
      <c r="A289" s="57" t="s">
        <v>1385</v>
      </c>
      <c r="B289" s="58" t="s">
        <v>201</v>
      </c>
      <c r="C289" s="58"/>
      <c r="D289" s="58" t="s">
        <v>332</v>
      </c>
      <c r="E289" s="58" t="s">
        <v>1384</v>
      </c>
      <c r="F289" s="58" t="s">
        <v>337</v>
      </c>
      <c r="G289" s="58">
        <v>0</v>
      </c>
      <c r="H289" s="59">
        <v>0</v>
      </c>
      <c r="I289" s="60">
        <v>0</v>
      </c>
      <c r="J289" s="59">
        <v>0</v>
      </c>
      <c r="K289" s="61" t="s">
        <v>330</v>
      </c>
      <c r="L289" s="62" t="s">
        <v>330</v>
      </c>
    </row>
    <row r="290" spans="1:12" x14ac:dyDescent="0.25">
      <c r="A290" s="57" t="s">
        <v>1383</v>
      </c>
      <c r="B290" s="58" t="s">
        <v>201</v>
      </c>
      <c r="C290" s="58"/>
      <c r="D290" s="58" t="s">
        <v>332</v>
      </c>
      <c r="E290" s="58" t="s">
        <v>1382</v>
      </c>
      <c r="F290" s="58" t="s">
        <v>337</v>
      </c>
      <c r="G290" s="58">
        <v>0</v>
      </c>
      <c r="H290" s="59">
        <v>0</v>
      </c>
      <c r="I290" s="60">
        <v>0</v>
      </c>
      <c r="J290" s="59">
        <v>0</v>
      </c>
      <c r="K290" s="61" t="s">
        <v>330</v>
      </c>
      <c r="L290" s="62" t="s">
        <v>330</v>
      </c>
    </row>
    <row r="291" spans="1:12" x14ac:dyDescent="0.25">
      <c r="A291" s="57" t="s">
        <v>1381</v>
      </c>
      <c r="B291" s="58" t="s">
        <v>201</v>
      </c>
      <c r="C291" s="58"/>
      <c r="D291" s="58" t="s">
        <v>332</v>
      </c>
      <c r="E291" s="58" t="s">
        <v>1380</v>
      </c>
      <c r="F291" s="58" t="s">
        <v>337</v>
      </c>
      <c r="G291" s="58">
        <v>0</v>
      </c>
      <c r="H291" s="59">
        <v>0</v>
      </c>
      <c r="I291" s="60">
        <v>0</v>
      </c>
      <c r="J291" s="59">
        <v>0</v>
      </c>
      <c r="K291" s="61" t="s">
        <v>330</v>
      </c>
      <c r="L291" s="62" t="s">
        <v>330</v>
      </c>
    </row>
    <row r="292" spans="1:12" x14ac:dyDescent="0.25">
      <c r="A292" s="57" t="s">
        <v>1379</v>
      </c>
      <c r="B292" s="58" t="s">
        <v>201</v>
      </c>
      <c r="C292" s="58"/>
      <c r="D292" s="58" t="s">
        <v>332</v>
      </c>
      <c r="E292" s="58" t="s">
        <v>1378</v>
      </c>
      <c r="F292" s="58" t="s">
        <v>337</v>
      </c>
      <c r="G292" s="58">
        <v>0</v>
      </c>
      <c r="H292" s="59">
        <v>0</v>
      </c>
      <c r="I292" s="60">
        <v>0</v>
      </c>
      <c r="J292" s="59">
        <v>0</v>
      </c>
      <c r="K292" s="61" t="s">
        <v>330</v>
      </c>
      <c r="L292" s="62" t="s">
        <v>330</v>
      </c>
    </row>
    <row r="293" spans="1:12" x14ac:dyDescent="0.25">
      <c r="A293" s="57" t="s">
        <v>1377</v>
      </c>
      <c r="B293" s="58" t="s">
        <v>201</v>
      </c>
      <c r="C293" s="58"/>
      <c r="D293" s="58" t="s">
        <v>332</v>
      </c>
      <c r="E293" s="58" t="s">
        <v>1376</v>
      </c>
      <c r="F293" s="58" t="s">
        <v>337</v>
      </c>
      <c r="G293" s="58">
        <v>0</v>
      </c>
      <c r="H293" s="59">
        <v>0</v>
      </c>
      <c r="I293" s="60">
        <v>0</v>
      </c>
      <c r="J293" s="59">
        <v>0</v>
      </c>
      <c r="K293" s="61" t="s">
        <v>330</v>
      </c>
      <c r="L293" s="62" t="s">
        <v>330</v>
      </c>
    </row>
    <row r="294" spans="1:12" x14ac:dyDescent="0.25">
      <c r="A294" s="57" t="s">
        <v>1375</v>
      </c>
      <c r="B294" s="58" t="s">
        <v>201</v>
      </c>
      <c r="C294" s="58"/>
      <c r="D294" s="58" t="s">
        <v>332</v>
      </c>
      <c r="E294" s="58" t="s">
        <v>1374</v>
      </c>
      <c r="F294" s="58" t="s">
        <v>337</v>
      </c>
      <c r="G294" s="58">
        <v>0</v>
      </c>
      <c r="H294" s="59">
        <v>0</v>
      </c>
      <c r="I294" s="60">
        <v>0</v>
      </c>
      <c r="J294" s="59">
        <v>0</v>
      </c>
      <c r="K294" s="61" t="s">
        <v>330</v>
      </c>
      <c r="L294" s="62" t="s">
        <v>330</v>
      </c>
    </row>
    <row r="295" spans="1:12" x14ac:dyDescent="0.25">
      <c r="A295" s="57" t="s">
        <v>260</v>
      </c>
      <c r="B295" s="58" t="s">
        <v>201</v>
      </c>
      <c r="C295" s="58" t="s">
        <v>1373</v>
      </c>
      <c r="D295" s="58" t="s">
        <v>355</v>
      </c>
      <c r="E295" s="58" t="s">
        <v>1372</v>
      </c>
      <c r="F295" s="58" t="s">
        <v>1371</v>
      </c>
      <c r="G295" s="58">
        <v>0.99690000000000001</v>
      </c>
      <c r="H295" s="59">
        <v>25179808.670000002</v>
      </c>
      <c r="I295" s="60">
        <v>25102278.030000001</v>
      </c>
      <c r="J295" s="59">
        <v>77530.640000000596</v>
      </c>
      <c r="K295" s="63">
        <v>45646</v>
      </c>
      <c r="L295" s="64">
        <v>46005</v>
      </c>
    </row>
    <row r="296" spans="1:12" x14ac:dyDescent="0.25">
      <c r="A296" s="57" t="s">
        <v>1370</v>
      </c>
      <c r="B296" s="58" t="s">
        <v>201</v>
      </c>
      <c r="C296" s="58"/>
      <c r="D296" s="58" t="s">
        <v>332</v>
      </c>
      <c r="E296" s="58" t="s">
        <v>1369</v>
      </c>
      <c r="F296" s="58" t="s">
        <v>337</v>
      </c>
      <c r="G296" s="58">
        <v>0</v>
      </c>
      <c r="H296" s="59">
        <v>898458.17</v>
      </c>
      <c r="I296" s="60">
        <v>0</v>
      </c>
      <c r="J296" s="59">
        <v>898458.17</v>
      </c>
      <c r="K296" s="61" t="s">
        <v>330</v>
      </c>
      <c r="L296" s="62" t="s">
        <v>330</v>
      </c>
    </row>
    <row r="297" spans="1:12" x14ac:dyDescent="0.25">
      <c r="A297" s="57" t="s">
        <v>1368</v>
      </c>
      <c r="B297" s="58" t="s">
        <v>201</v>
      </c>
      <c r="C297" s="58"/>
      <c r="D297" s="58" t="s">
        <v>339</v>
      </c>
      <c r="E297" s="58" t="s">
        <v>1367</v>
      </c>
      <c r="F297" s="58" t="s">
        <v>337</v>
      </c>
      <c r="G297" s="58">
        <v>0</v>
      </c>
      <c r="H297" s="59">
        <v>1045483.23</v>
      </c>
      <c r="I297" s="60">
        <v>0</v>
      </c>
      <c r="J297" s="59">
        <v>1045483.23</v>
      </c>
      <c r="K297" s="61" t="s">
        <v>330</v>
      </c>
      <c r="L297" s="62" t="s">
        <v>330</v>
      </c>
    </row>
    <row r="298" spans="1:12" x14ac:dyDescent="0.25">
      <c r="A298" s="57" t="s">
        <v>1366</v>
      </c>
      <c r="B298" s="58" t="s">
        <v>201</v>
      </c>
      <c r="C298" s="58"/>
      <c r="D298" s="58" t="s">
        <v>332</v>
      </c>
      <c r="E298" s="58" t="s">
        <v>1365</v>
      </c>
      <c r="F298" s="58" t="s">
        <v>337</v>
      </c>
      <c r="G298" s="58">
        <v>0</v>
      </c>
      <c r="H298" s="59">
        <v>1239807.96</v>
      </c>
      <c r="I298" s="60">
        <v>0</v>
      </c>
      <c r="J298" s="59">
        <v>1239807.96</v>
      </c>
      <c r="K298" s="61" t="s">
        <v>330</v>
      </c>
      <c r="L298" s="62" t="s">
        <v>330</v>
      </c>
    </row>
    <row r="299" spans="1:12" x14ac:dyDescent="0.25">
      <c r="A299" s="57" t="s">
        <v>1364</v>
      </c>
      <c r="B299" s="58" t="s">
        <v>201</v>
      </c>
      <c r="C299" s="58"/>
      <c r="D299" s="58" t="s">
        <v>332</v>
      </c>
      <c r="E299" s="58" t="s">
        <v>1363</v>
      </c>
      <c r="F299" s="58" t="s">
        <v>337</v>
      </c>
      <c r="G299" s="58">
        <v>0</v>
      </c>
      <c r="H299" s="59">
        <v>1515637.28</v>
      </c>
      <c r="I299" s="60">
        <v>0</v>
      </c>
      <c r="J299" s="59">
        <v>1515637.28</v>
      </c>
      <c r="K299" s="61" t="s">
        <v>330</v>
      </c>
      <c r="L299" s="62" t="s">
        <v>330</v>
      </c>
    </row>
    <row r="300" spans="1:12" x14ac:dyDescent="0.25">
      <c r="A300" s="57" t="s">
        <v>199</v>
      </c>
      <c r="B300" s="58" t="s">
        <v>201</v>
      </c>
      <c r="C300" s="58" t="s">
        <v>1362</v>
      </c>
      <c r="D300" s="58" t="s">
        <v>355</v>
      </c>
      <c r="E300" s="58" t="s">
        <v>1361</v>
      </c>
      <c r="F300" s="58" t="s">
        <v>1360</v>
      </c>
      <c r="G300" s="58">
        <v>0.80629999999999991</v>
      </c>
      <c r="H300" s="59">
        <v>8811881.7799999993</v>
      </c>
      <c r="I300" s="60">
        <v>7104640.0499999998</v>
      </c>
      <c r="J300" s="59">
        <v>1707241.7299999995</v>
      </c>
      <c r="K300" s="63">
        <v>45360</v>
      </c>
      <c r="L300" s="64">
        <v>45566</v>
      </c>
    </row>
    <row r="301" spans="1:12" x14ac:dyDescent="0.25">
      <c r="A301" s="57" t="s">
        <v>1359</v>
      </c>
      <c r="B301" s="58" t="s">
        <v>201</v>
      </c>
      <c r="C301" s="58"/>
      <c r="D301" s="58" t="s">
        <v>332</v>
      </c>
      <c r="E301" s="58" t="s">
        <v>1358</v>
      </c>
      <c r="F301" s="58" t="s">
        <v>337</v>
      </c>
      <c r="G301" s="58">
        <v>0</v>
      </c>
      <c r="H301" s="59">
        <v>2416566.67</v>
      </c>
      <c r="I301" s="60">
        <v>0</v>
      </c>
      <c r="J301" s="59">
        <v>2416566.67</v>
      </c>
      <c r="K301" s="61" t="s">
        <v>330</v>
      </c>
      <c r="L301" s="62" t="s">
        <v>330</v>
      </c>
    </row>
    <row r="302" spans="1:12" x14ac:dyDescent="0.25">
      <c r="A302" s="57" t="s">
        <v>1357</v>
      </c>
      <c r="B302" s="58" t="s">
        <v>201</v>
      </c>
      <c r="C302" s="58"/>
      <c r="D302" s="58" t="s">
        <v>332</v>
      </c>
      <c r="E302" s="58" t="s">
        <v>1356</v>
      </c>
      <c r="F302" s="58" t="s">
        <v>337</v>
      </c>
      <c r="G302" s="58">
        <v>0</v>
      </c>
      <c r="H302" s="59">
        <v>2744422.64</v>
      </c>
      <c r="I302" s="60">
        <v>0</v>
      </c>
      <c r="J302" s="59">
        <v>2744422.64</v>
      </c>
      <c r="K302" s="61" t="s">
        <v>330</v>
      </c>
      <c r="L302" s="62" t="s">
        <v>330</v>
      </c>
    </row>
    <row r="303" spans="1:12" x14ac:dyDescent="0.25">
      <c r="A303" s="57" t="s">
        <v>1355</v>
      </c>
      <c r="B303" s="58" t="s">
        <v>201</v>
      </c>
      <c r="C303" s="58"/>
      <c r="D303" s="58" t="s">
        <v>332</v>
      </c>
      <c r="E303" s="58" t="s">
        <v>1354</v>
      </c>
      <c r="F303" s="58" t="s">
        <v>337</v>
      </c>
      <c r="G303" s="58">
        <v>0</v>
      </c>
      <c r="H303" s="59">
        <v>2795854.18</v>
      </c>
      <c r="I303" s="60">
        <v>0</v>
      </c>
      <c r="J303" s="59">
        <v>2795854.18</v>
      </c>
      <c r="K303" s="61" t="s">
        <v>330</v>
      </c>
      <c r="L303" s="62" t="s">
        <v>330</v>
      </c>
    </row>
    <row r="304" spans="1:12" x14ac:dyDescent="0.25">
      <c r="A304" s="57" t="s">
        <v>1353</v>
      </c>
      <c r="B304" s="58" t="s">
        <v>201</v>
      </c>
      <c r="C304" s="58"/>
      <c r="D304" s="58" t="s">
        <v>332</v>
      </c>
      <c r="E304" s="58" t="s">
        <v>1352</v>
      </c>
      <c r="F304" s="58" t="s">
        <v>337</v>
      </c>
      <c r="G304" s="58">
        <v>0</v>
      </c>
      <c r="H304" s="59">
        <v>4451850.42</v>
      </c>
      <c r="I304" s="60">
        <v>0</v>
      </c>
      <c r="J304" s="59">
        <v>4451850.42</v>
      </c>
      <c r="K304" s="61" t="s">
        <v>330</v>
      </c>
      <c r="L304" s="62" t="s">
        <v>330</v>
      </c>
    </row>
    <row r="305" spans="1:12" x14ac:dyDescent="0.25">
      <c r="A305" s="57" t="s">
        <v>1351</v>
      </c>
      <c r="B305" s="58" t="s">
        <v>201</v>
      </c>
      <c r="C305" s="58"/>
      <c r="D305" s="58" t="s">
        <v>332</v>
      </c>
      <c r="E305" s="58" t="s">
        <v>1350</v>
      </c>
      <c r="F305" s="58" t="s">
        <v>337</v>
      </c>
      <c r="G305" s="58">
        <v>0</v>
      </c>
      <c r="H305" s="59">
        <v>4671393.28</v>
      </c>
      <c r="I305" s="60">
        <v>0</v>
      </c>
      <c r="J305" s="59">
        <v>4671393.28</v>
      </c>
      <c r="K305" s="61" t="s">
        <v>330</v>
      </c>
      <c r="L305" s="62" t="s">
        <v>330</v>
      </c>
    </row>
    <row r="306" spans="1:12" x14ac:dyDescent="0.25">
      <c r="A306" s="57" t="s">
        <v>1349</v>
      </c>
      <c r="B306" s="58" t="s">
        <v>201</v>
      </c>
      <c r="C306" s="58"/>
      <c r="D306" s="58" t="s">
        <v>332</v>
      </c>
      <c r="E306" s="58" t="s">
        <v>1348</v>
      </c>
      <c r="F306" s="58" t="s">
        <v>337</v>
      </c>
      <c r="G306" s="58">
        <v>0</v>
      </c>
      <c r="H306" s="59">
        <v>5571065.0199999996</v>
      </c>
      <c r="I306" s="60">
        <v>0</v>
      </c>
      <c r="J306" s="59">
        <v>5571065.0199999996</v>
      </c>
      <c r="K306" s="61" t="s">
        <v>330</v>
      </c>
      <c r="L306" s="62" t="s">
        <v>330</v>
      </c>
    </row>
    <row r="307" spans="1:12" x14ac:dyDescent="0.25">
      <c r="A307" s="57" t="s">
        <v>1347</v>
      </c>
      <c r="B307" s="58" t="s">
        <v>201</v>
      </c>
      <c r="C307" s="58"/>
      <c r="D307" s="58" t="s">
        <v>332</v>
      </c>
      <c r="E307" s="58" t="s">
        <v>1346</v>
      </c>
      <c r="F307" s="58" t="s">
        <v>337</v>
      </c>
      <c r="G307" s="58">
        <v>0</v>
      </c>
      <c r="H307" s="59">
        <v>5893597.29</v>
      </c>
      <c r="I307" s="60">
        <v>0</v>
      </c>
      <c r="J307" s="59">
        <v>5893597.29</v>
      </c>
      <c r="K307" s="61" t="s">
        <v>330</v>
      </c>
      <c r="L307" s="62" t="s">
        <v>330</v>
      </c>
    </row>
    <row r="308" spans="1:12" x14ac:dyDescent="0.25">
      <c r="A308" s="57" t="s">
        <v>1345</v>
      </c>
      <c r="B308" s="58" t="s">
        <v>201</v>
      </c>
      <c r="C308" s="58"/>
      <c r="D308" s="58" t="s">
        <v>332</v>
      </c>
      <c r="E308" s="58" t="s">
        <v>1344</v>
      </c>
      <c r="F308" s="58" t="s">
        <v>337</v>
      </c>
      <c r="G308" s="58">
        <v>0</v>
      </c>
      <c r="H308" s="59">
        <v>11411725.32</v>
      </c>
      <c r="I308" s="60">
        <v>0</v>
      </c>
      <c r="J308" s="59">
        <v>11411725.32</v>
      </c>
      <c r="K308" s="61" t="s">
        <v>330</v>
      </c>
      <c r="L308" s="62" t="s">
        <v>330</v>
      </c>
    </row>
    <row r="309" spans="1:12" x14ac:dyDescent="0.25">
      <c r="A309" s="57" t="s">
        <v>1343</v>
      </c>
      <c r="B309" s="58" t="s">
        <v>201</v>
      </c>
      <c r="C309" s="58"/>
      <c r="D309" s="58" t="s">
        <v>332</v>
      </c>
      <c r="E309" s="58" t="s">
        <v>1342</v>
      </c>
      <c r="F309" s="58" t="s">
        <v>337</v>
      </c>
      <c r="G309" s="58">
        <v>0</v>
      </c>
      <c r="H309" s="59">
        <v>22338188.5</v>
      </c>
      <c r="I309" s="60">
        <v>0</v>
      </c>
      <c r="J309" s="59">
        <v>22338188.5</v>
      </c>
      <c r="K309" s="61" t="s">
        <v>330</v>
      </c>
      <c r="L309" s="62" t="s">
        <v>330</v>
      </c>
    </row>
    <row r="310" spans="1:12" x14ac:dyDescent="0.25">
      <c r="A310" s="57" t="s">
        <v>1341</v>
      </c>
      <c r="B310" s="58" t="s">
        <v>1334</v>
      </c>
      <c r="C310" s="58"/>
      <c r="D310" s="58" t="s">
        <v>396</v>
      </c>
      <c r="E310" s="58" t="s">
        <v>1340</v>
      </c>
      <c r="F310" s="58" t="s">
        <v>337</v>
      </c>
      <c r="G310" s="58">
        <v>0</v>
      </c>
      <c r="H310" s="59">
        <v>6286511.04</v>
      </c>
      <c r="I310" s="60">
        <v>0</v>
      </c>
      <c r="J310" s="59">
        <v>6286511.04</v>
      </c>
      <c r="K310" s="61" t="s">
        <v>330</v>
      </c>
      <c r="L310" s="62" t="s">
        <v>330</v>
      </c>
    </row>
    <row r="311" spans="1:12" x14ac:dyDescent="0.25">
      <c r="A311" s="57" t="s">
        <v>1339</v>
      </c>
      <c r="B311" s="58" t="s">
        <v>1334</v>
      </c>
      <c r="C311" s="58"/>
      <c r="D311" s="58" t="s">
        <v>396</v>
      </c>
      <c r="E311" s="58" t="s">
        <v>1338</v>
      </c>
      <c r="F311" s="58" t="s">
        <v>337</v>
      </c>
      <c r="G311" s="58">
        <v>0</v>
      </c>
      <c r="H311" s="59">
        <v>6548320.3799999999</v>
      </c>
      <c r="I311" s="60">
        <v>0</v>
      </c>
      <c r="J311" s="59">
        <v>6548320.3799999999</v>
      </c>
      <c r="K311" s="61" t="s">
        <v>330</v>
      </c>
      <c r="L311" s="62" t="s">
        <v>330</v>
      </c>
    </row>
    <row r="312" spans="1:12" x14ac:dyDescent="0.25">
      <c r="A312" s="57" t="s">
        <v>1337</v>
      </c>
      <c r="B312" s="58" t="s">
        <v>1334</v>
      </c>
      <c r="C312" s="58"/>
      <c r="D312" s="58" t="s">
        <v>396</v>
      </c>
      <c r="E312" s="58" t="s">
        <v>1336</v>
      </c>
      <c r="F312" s="58" t="s">
        <v>337</v>
      </c>
      <c r="G312" s="58">
        <v>0</v>
      </c>
      <c r="H312" s="59">
        <v>9007826.5800000001</v>
      </c>
      <c r="I312" s="60">
        <v>0</v>
      </c>
      <c r="J312" s="59">
        <v>9007826.5800000001</v>
      </c>
      <c r="K312" s="61" t="s">
        <v>330</v>
      </c>
      <c r="L312" s="62" t="s">
        <v>330</v>
      </c>
    </row>
    <row r="313" spans="1:12" x14ac:dyDescent="0.25">
      <c r="A313" s="57" t="s">
        <v>1335</v>
      </c>
      <c r="B313" s="58" t="s">
        <v>1334</v>
      </c>
      <c r="C313" s="58"/>
      <c r="D313" s="58" t="s">
        <v>332</v>
      </c>
      <c r="E313" s="58" t="s">
        <v>1333</v>
      </c>
      <c r="F313" s="58" t="s">
        <v>337</v>
      </c>
      <c r="G313" s="58">
        <v>0</v>
      </c>
      <c r="H313" s="59">
        <v>24726634.440000001</v>
      </c>
      <c r="I313" s="60">
        <v>0</v>
      </c>
      <c r="J313" s="59">
        <v>24726634.440000001</v>
      </c>
      <c r="K313" s="61" t="s">
        <v>330</v>
      </c>
      <c r="L313" s="62" t="s">
        <v>330</v>
      </c>
    </row>
    <row r="314" spans="1:12" x14ac:dyDescent="0.25">
      <c r="A314" s="57" t="s">
        <v>1332</v>
      </c>
      <c r="B314" s="58" t="s">
        <v>102</v>
      </c>
      <c r="C314" s="58" t="s">
        <v>1331</v>
      </c>
      <c r="D314" s="58" t="s">
        <v>355</v>
      </c>
      <c r="E314" s="58" t="s">
        <v>1330</v>
      </c>
      <c r="F314" s="58" t="s">
        <v>952</v>
      </c>
      <c r="G314" s="58">
        <v>1</v>
      </c>
      <c r="H314" s="59">
        <v>724764.22</v>
      </c>
      <c r="I314" s="60">
        <v>724764.22</v>
      </c>
      <c r="J314" s="59">
        <v>0</v>
      </c>
      <c r="K314" s="63">
        <v>44911</v>
      </c>
      <c r="L314" s="64">
        <v>45182</v>
      </c>
    </row>
    <row r="315" spans="1:12" x14ac:dyDescent="0.25">
      <c r="A315" s="57" t="s">
        <v>1329</v>
      </c>
      <c r="B315" s="58" t="s">
        <v>102</v>
      </c>
      <c r="C315" s="58"/>
      <c r="D315" s="58" t="s">
        <v>332</v>
      </c>
      <c r="E315" s="58" t="s">
        <v>1328</v>
      </c>
      <c r="F315" s="58" t="s">
        <v>337</v>
      </c>
      <c r="G315" s="58">
        <v>0</v>
      </c>
      <c r="H315" s="59">
        <v>0</v>
      </c>
      <c r="I315" s="60">
        <v>0</v>
      </c>
      <c r="J315" s="59">
        <v>0</v>
      </c>
      <c r="K315" s="61" t="s">
        <v>330</v>
      </c>
      <c r="L315" s="62" t="s">
        <v>330</v>
      </c>
    </row>
    <row r="316" spans="1:12" x14ac:dyDescent="0.25">
      <c r="A316" s="57" t="s">
        <v>1327</v>
      </c>
      <c r="B316" s="58" t="s">
        <v>102</v>
      </c>
      <c r="C316" s="58"/>
      <c r="D316" s="58" t="s">
        <v>332</v>
      </c>
      <c r="E316" s="58" t="s">
        <v>1326</v>
      </c>
      <c r="F316" s="58" t="s">
        <v>337</v>
      </c>
      <c r="G316" s="58">
        <v>0</v>
      </c>
      <c r="H316" s="59">
        <v>0</v>
      </c>
      <c r="I316" s="60">
        <v>0</v>
      </c>
      <c r="J316" s="59">
        <v>0</v>
      </c>
      <c r="K316" s="61" t="s">
        <v>330</v>
      </c>
      <c r="L316" s="62" t="s">
        <v>330</v>
      </c>
    </row>
    <row r="317" spans="1:12" x14ac:dyDescent="0.25">
      <c r="A317" s="57" t="s">
        <v>1325</v>
      </c>
      <c r="B317" s="58" t="s">
        <v>102</v>
      </c>
      <c r="C317" s="58"/>
      <c r="D317" s="58" t="s">
        <v>332</v>
      </c>
      <c r="E317" s="58" t="s">
        <v>1324</v>
      </c>
      <c r="F317" s="58" t="s">
        <v>337</v>
      </c>
      <c r="G317" s="58">
        <v>0</v>
      </c>
      <c r="H317" s="59">
        <v>1407260.95</v>
      </c>
      <c r="I317" s="60">
        <v>0</v>
      </c>
      <c r="J317" s="59">
        <v>1407260.95</v>
      </c>
      <c r="K317" s="61" t="s">
        <v>330</v>
      </c>
      <c r="L317" s="62" t="s">
        <v>330</v>
      </c>
    </row>
    <row r="318" spans="1:12" x14ac:dyDescent="0.25">
      <c r="A318" s="57" t="s">
        <v>1323</v>
      </c>
      <c r="B318" s="58" t="s">
        <v>102</v>
      </c>
      <c r="C318" s="58"/>
      <c r="D318" s="58" t="s">
        <v>440</v>
      </c>
      <c r="E318" s="58" t="s">
        <v>1322</v>
      </c>
      <c r="F318" s="58" t="s">
        <v>1321</v>
      </c>
      <c r="G318" s="58">
        <v>0</v>
      </c>
      <c r="H318" s="59">
        <v>3015341.73</v>
      </c>
      <c r="I318" s="60">
        <v>0</v>
      </c>
      <c r="J318" s="59">
        <v>3015341.73</v>
      </c>
      <c r="K318" s="61" t="s">
        <v>330</v>
      </c>
      <c r="L318" s="62" t="s">
        <v>330</v>
      </c>
    </row>
    <row r="319" spans="1:12" x14ac:dyDescent="0.25">
      <c r="A319" s="57" t="s">
        <v>1320</v>
      </c>
      <c r="B319" s="58" t="s">
        <v>102</v>
      </c>
      <c r="C319" s="58"/>
      <c r="D319" s="58" t="s">
        <v>339</v>
      </c>
      <c r="E319" s="58" t="s">
        <v>1319</v>
      </c>
      <c r="F319" s="58" t="s">
        <v>337</v>
      </c>
      <c r="G319" s="58">
        <v>0</v>
      </c>
      <c r="H319" s="59">
        <v>3361615.41</v>
      </c>
      <c r="I319" s="60">
        <v>0</v>
      </c>
      <c r="J319" s="59">
        <v>3361615.41</v>
      </c>
      <c r="K319" s="61" t="s">
        <v>330</v>
      </c>
      <c r="L319" s="62" t="s">
        <v>330</v>
      </c>
    </row>
    <row r="320" spans="1:12" x14ac:dyDescent="0.25">
      <c r="A320" s="57" t="s">
        <v>111</v>
      </c>
      <c r="B320" s="58" t="s">
        <v>102</v>
      </c>
      <c r="C320" s="58" t="s">
        <v>1318</v>
      </c>
      <c r="D320" s="58" t="s">
        <v>7</v>
      </c>
      <c r="E320" s="58" t="s">
        <v>1317</v>
      </c>
      <c r="F320" s="58" t="s">
        <v>424</v>
      </c>
      <c r="G320" s="58">
        <v>0.85919999999999996</v>
      </c>
      <c r="H320" s="59">
        <v>34662990.030000001</v>
      </c>
      <c r="I320" s="60">
        <v>29783877.300000001</v>
      </c>
      <c r="J320" s="59">
        <v>4879112.7300000004</v>
      </c>
      <c r="K320" s="63">
        <v>45155</v>
      </c>
      <c r="L320" s="64">
        <v>46239</v>
      </c>
    </row>
    <row r="321" spans="1:12" x14ac:dyDescent="0.25">
      <c r="A321" s="57" t="s">
        <v>101</v>
      </c>
      <c r="B321" s="58" t="s">
        <v>102</v>
      </c>
      <c r="C321" s="58" t="s">
        <v>1316</v>
      </c>
      <c r="D321" s="58" t="s">
        <v>45</v>
      </c>
      <c r="E321" s="58" t="s">
        <v>1315</v>
      </c>
      <c r="F321" s="58" t="s">
        <v>696</v>
      </c>
      <c r="G321" s="58">
        <v>7.0000000000000007E-2</v>
      </c>
      <c r="H321" s="59">
        <v>27739392.32</v>
      </c>
      <c r="I321" s="60">
        <v>1940441.71</v>
      </c>
      <c r="J321" s="59">
        <v>25798950.609999999</v>
      </c>
      <c r="K321" s="63">
        <v>45541</v>
      </c>
      <c r="L321" s="64">
        <v>46081</v>
      </c>
    </row>
    <row r="322" spans="1:12" x14ac:dyDescent="0.25">
      <c r="A322" s="57" t="s">
        <v>1314</v>
      </c>
      <c r="B322" s="58" t="s">
        <v>102</v>
      </c>
      <c r="C322" s="58"/>
      <c r="D322" s="58" t="s">
        <v>332</v>
      </c>
      <c r="E322" s="58" t="s">
        <v>1313</v>
      </c>
      <c r="F322" s="58" t="s">
        <v>337</v>
      </c>
      <c r="G322" s="58">
        <v>0</v>
      </c>
      <c r="H322" s="59">
        <v>33781319.030000001</v>
      </c>
      <c r="I322" s="60">
        <v>0</v>
      </c>
      <c r="J322" s="59">
        <v>33781319.030000001</v>
      </c>
      <c r="K322" s="61" t="s">
        <v>330</v>
      </c>
      <c r="L322" s="62" t="s">
        <v>330</v>
      </c>
    </row>
    <row r="323" spans="1:12" x14ac:dyDescent="0.25">
      <c r="A323" s="57" t="s">
        <v>1312</v>
      </c>
      <c r="B323" s="58" t="s">
        <v>102</v>
      </c>
      <c r="C323" s="58"/>
      <c r="D323" s="58" t="s">
        <v>339</v>
      </c>
      <c r="E323" s="58" t="s">
        <v>1311</v>
      </c>
      <c r="F323" s="58" t="s">
        <v>337</v>
      </c>
      <c r="G323" s="58">
        <v>0</v>
      </c>
      <c r="H323" s="59">
        <v>53218502.409999996</v>
      </c>
      <c r="I323" s="60">
        <v>0</v>
      </c>
      <c r="J323" s="59">
        <v>53218502.409999996</v>
      </c>
      <c r="K323" s="61" t="s">
        <v>330</v>
      </c>
      <c r="L323" s="62" t="s">
        <v>330</v>
      </c>
    </row>
    <row r="324" spans="1:12" x14ac:dyDescent="0.25">
      <c r="A324" s="57" t="s">
        <v>1310</v>
      </c>
      <c r="B324" s="58" t="s">
        <v>1293</v>
      </c>
      <c r="C324" s="58"/>
      <c r="D324" s="58" t="s">
        <v>332</v>
      </c>
      <c r="E324" s="58" t="s">
        <v>1309</v>
      </c>
      <c r="F324" s="58" t="s">
        <v>337</v>
      </c>
      <c r="G324" s="58">
        <v>0</v>
      </c>
      <c r="H324" s="59">
        <v>0</v>
      </c>
      <c r="I324" s="60">
        <v>0</v>
      </c>
      <c r="J324" s="59">
        <v>0</v>
      </c>
      <c r="K324" s="61" t="s">
        <v>330</v>
      </c>
      <c r="L324" s="62" t="s">
        <v>330</v>
      </c>
    </row>
    <row r="325" spans="1:12" x14ac:dyDescent="0.25">
      <c r="A325" s="57" t="s">
        <v>1308</v>
      </c>
      <c r="B325" s="58" t="s">
        <v>1293</v>
      </c>
      <c r="C325" s="58"/>
      <c r="D325" s="58" t="s">
        <v>332</v>
      </c>
      <c r="E325" s="58" t="s">
        <v>1307</v>
      </c>
      <c r="F325" s="58" t="s">
        <v>337</v>
      </c>
      <c r="G325" s="58">
        <v>0</v>
      </c>
      <c r="H325" s="59">
        <v>0</v>
      </c>
      <c r="I325" s="60">
        <v>0</v>
      </c>
      <c r="J325" s="59">
        <v>0</v>
      </c>
      <c r="K325" s="61" t="s">
        <v>330</v>
      </c>
      <c r="L325" s="62" t="s">
        <v>330</v>
      </c>
    </row>
    <row r="326" spans="1:12" x14ac:dyDescent="0.25">
      <c r="A326" s="57" t="s">
        <v>1306</v>
      </c>
      <c r="B326" s="58" t="s">
        <v>1293</v>
      </c>
      <c r="C326" s="58"/>
      <c r="D326" s="58" t="s">
        <v>332</v>
      </c>
      <c r="E326" s="58" t="s">
        <v>1305</v>
      </c>
      <c r="F326" s="58" t="s">
        <v>337</v>
      </c>
      <c r="G326" s="58">
        <v>0</v>
      </c>
      <c r="H326" s="59">
        <v>0</v>
      </c>
      <c r="I326" s="60">
        <v>0</v>
      </c>
      <c r="J326" s="59">
        <v>0</v>
      </c>
      <c r="K326" s="61" t="s">
        <v>330</v>
      </c>
      <c r="L326" s="62" t="s">
        <v>330</v>
      </c>
    </row>
    <row r="327" spans="1:12" x14ac:dyDescent="0.25">
      <c r="A327" s="57" t="s">
        <v>1304</v>
      </c>
      <c r="B327" s="58" t="s">
        <v>1293</v>
      </c>
      <c r="C327" s="58"/>
      <c r="D327" s="58" t="s">
        <v>332</v>
      </c>
      <c r="E327" s="58" t="s">
        <v>1303</v>
      </c>
      <c r="F327" s="58" t="s">
        <v>337</v>
      </c>
      <c r="G327" s="58">
        <v>0</v>
      </c>
      <c r="H327" s="59">
        <v>0</v>
      </c>
      <c r="I327" s="60">
        <v>0</v>
      </c>
      <c r="J327" s="59">
        <v>0</v>
      </c>
      <c r="K327" s="61" t="s">
        <v>330</v>
      </c>
      <c r="L327" s="62" t="s">
        <v>330</v>
      </c>
    </row>
    <row r="328" spans="1:12" x14ac:dyDescent="0.25">
      <c r="A328" s="57" t="s">
        <v>1302</v>
      </c>
      <c r="B328" s="58" t="s">
        <v>1293</v>
      </c>
      <c r="C328" s="58"/>
      <c r="D328" s="58" t="s">
        <v>332</v>
      </c>
      <c r="E328" s="58" t="s">
        <v>1301</v>
      </c>
      <c r="F328" s="58" t="s">
        <v>337</v>
      </c>
      <c r="G328" s="58">
        <v>0</v>
      </c>
      <c r="H328" s="59">
        <v>0</v>
      </c>
      <c r="I328" s="60">
        <v>0</v>
      </c>
      <c r="J328" s="59">
        <v>0</v>
      </c>
      <c r="K328" s="61" t="s">
        <v>330</v>
      </c>
      <c r="L328" s="62" t="s">
        <v>330</v>
      </c>
    </row>
    <row r="329" spans="1:12" x14ac:dyDescent="0.25">
      <c r="A329" s="57" t="s">
        <v>1300</v>
      </c>
      <c r="B329" s="58" t="s">
        <v>1293</v>
      </c>
      <c r="C329" s="58"/>
      <c r="D329" s="58" t="s">
        <v>332</v>
      </c>
      <c r="E329" s="58" t="s">
        <v>1299</v>
      </c>
      <c r="F329" s="58" t="s">
        <v>337</v>
      </c>
      <c r="G329" s="58">
        <v>0</v>
      </c>
      <c r="H329" s="59">
        <v>995224.37</v>
      </c>
      <c r="I329" s="60">
        <v>0</v>
      </c>
      <c r="J329" s="59">
        <v>995224.37</v>
      </c>
      <c r="K329" s="61" t="s">
        <v>330</v>
      </c>
      <c r="L329" s="62" t="s">
        <v>330</v>
      </c>
    </row>
    <row r="330" spans="1:12" x14ac:dyDescent="0.25">
      <c r="A330" s="57" t="s">
        <v>1298</v>
      </c>
      <c r="B330" s="58" t="s">
        <v>1293</v>
      </c>
      <c r="C330" s="58"/>
      <c r="D330" s="58" t="s">
        <v>332</v>
      </c>
      <c r="E330" s="58" t="s">
        <v>1297</v>
      </c>
      <c r="F330" s="58" t="s">
        <v>337</v>
      </c>
      <c r="G330" s="58">
        <v>0</v>
      </c>
      <c r="H330" s="59">
        <v>2463467.63</v>
      </c>
      <c r="I330" s="60">
        <v>0</v>
      </c>
      <c r="J330" s="59">
        <v>2463467.63</v>
      </c>
      <c r="K330" s="61" t="s">
        <v>330</v>
      </c>
      <c r="L330" s="62" t="s">
        <v>330</v>
      </c>
    </row>
    <row r="331" spans="1:12" x14ac:dyDescent="0.25">
      <c r="A331" s="57" t="s">
        <v>1296</v>
      </c>
      <c r="B331" s="58" t="s">
        <v>1293</v>
      </c>
      <c r="C331" s="58"/>
      <c r="D331" s="58" t="s">
        <v>332</v>
      </c>
      <c r="E331" s="58" t="s">
        <v>1295</v>
      </c>
      <c r="F331" s="58" t="s">
        <v>337</v>
      </c>
      <c r="G331" s="58">
        <v>0</v>
      </c>
      <c r="H331" s="59">
        <v>4205063.12</v>
      </c>
      <c r="I331" s="60">
        <v>0</v>
      </c>
      <c r="J331" s="59">
        <v>4205063.12</v>
      </c>
      <c r="K331" s="61" t="s">
        <v>330</v>
      </c>
      <c r="L331" s="62" t="s">
        <v>330</v>
      </c>
    </row>
    <row r="332" spans="1:12" x14ac:dyDescent="0.25">
      <c r="A332" s="57" t="s">
        <v>1294</v>
      </c>
      <c r="B332" s="58" t="s">
        <v>1293</v>
      </c>
      <c r="C332" s="58"/>
      <c r="D332" s="58" t="s">
        <v>332</v>
      </c>
      <c r="E332" s="58" t="s">
        <v>1292</v>
      </c>
      <c r="F332" s="58" t="s">
        <v>337</v>
      </c>
      <c r="G332" s="58">
        <v>0</v>
      </c>
      <c r="H332" s="59">
        <v>10001141.6</v>
      </c>
      <c r="I332" s="60">
        <v>0</v>
      </c>
      <c r="J332" s="59">
        <v>10001141.6</v>
      </c>
      <c r="K332" s="61" t="s">
        <v>330</v>
      </c>
      <c r="L332" s="62" t="s">
        <v>330</v>
      </c>
    </row>
    <row r="333" spans="1:12" x14ac:dyDescent="0.25">
      <c r="A333" s="57" t="s">
        <v>1291</v>
      </c>
      <c r="B333" s="58" t="s">
        <v>1288</v>
      </c>
      <c r="C333" s="58"/>
      <c r="D333" s="58" t="s">
        <v>440</v>
      </c>
      <c r="E333" s="58" t="s">
        <v>1290</v>
      </c>
      <c r="F333" s="58" t="s">
        <v>264</v>
      </c>
      <c r="G333" s="58">
        <v>0</v>
      </c>
      <c r="H333" s="59">
        <v>4137927.88</v>
      </c>
      <c r="I333" s="60">
        <v>0</v>
      </c>
      <c r="J333" s="59">
        <v>4137927.88</v>
      </c>
      <c r="K333" s="61" t="s">
        <v>330</v>
      </c>
      <c r="L333" s="62" t="s">
        <v>330</v>
      </c>
    </row>
    <row r="334" spans="1:12" x14ac:dyDescent="0.25">
      <c r="A334" s="57" t="s">
        <v>1289</v>
      </c>
      <c r="B334" s="58" t="s">
        <v>1288</v>
      </c>
      <c r="C334" s="58"/>
      <c r="D334" s="58" t="s">
        <v>332</v>
      </c>
      <c r="E334" s="58" t="s">
        <v>1287</v>
      </c>
      <c r="F334" s="58" t="s">
        <v>337</v>
      </c>
      <c r="G334" s="58">
        <v>0</v>
      </c>
      <c r="H334" s="59">
        <v>11503195.890000001</v>
      </c>
      <c r="I334" s="60">
        <v>0</v>
      </c>
      <c r="J334" s="59">
        <v>11503195.890000001</v>
      </c>
      <c r="K334" s="61" t="s">
        <v>330</v>
      </c>
      <c r="L334" s="62" t="s">
        <v>330</v>
      </c>
    </row>
    <row r="335" spans="1:12" x14ac:dyDescent="0.25">
      <c r="A335" s="57" t="s">
        <v>267</v>
      </c>
      <c r="B335" s="58" t="s">
        <v>84</v>
      </c>
      <c r="C335" s="58" t="s">
        <v>1286</v>
      </c>
      <c r="D335" s="58" t="s">
        <v>355</v>
      </c>
      <c r="E335" s="58" t="s">
        <v>1285</v>
      </c>
      <c r="F335" s="58" t="s">
        <v>420</v>
      </c>
      <c r="G335" s="58">
        <v>0.89910000000000001</v>
      </c>
      <c r="H335" s="59">
        <v>666913.68000000005</v>
      </c>
      <c r="I335" s="60">
        <v>599641.31000000006</v>
      </c>
      <c r="J335" s="59">
        <v>67272.37</v>
      </c>
      <c r="K335" s="63">
        <v>45783</v>
      </c>
      <c r="L335" s="64">
        <v>45964</v>
      </c>
    </row>
    <row r="336" spans="1:12" x14ac:dyDescent="0.25">
      <c r="A336" s="57" t="s">
        <v>270</v>
      </c>
      <c r="B336" s="58" t="s">
        <v>84</v>
      </c>
      <c r="C336" s="58" t="s">
        <v>1284</v>
      </c>
      <c r="D336" s="58" t="s">
        <v>7</v>
      </c>
      <c r="E336" s="58" t="s">
        <v>1283</v>
      </c>
      <c r="F336" s="58" t="s">
        <v>420</v>
      </c>
      <c r="G336" s="58">
        <v>0.89760000000000006</v>
      </c>
      <c r="H336" s="59">
        <v>763285.07</v>
      </c>
      <c r="I336" s="60">
        <v>685145.56</v>
      </c>
      <c r="J336" s="59">
        <v>78139.509999999893</v>
      </c>
      <c r="K336" s="63">
        <v>45783</v>
      </c>
      <c r="L336" s="64">
        <v>46115</v>
      </c>
    </row>
    <row r="337" spans="1:12" x14ac:dyDescent="0.25">
      <c r="A337" s="57" t="s">
        <v>1282</v>
      </c>
      <c r="B337" s="58" t="s">
        <v>84</v>
      </c>
      <c r="C337" s="58"/>
      <c r="D337" s="58" t="s">
        <v>332</v>
      </c>
      <c r="E337" s="58" t="s">
        <v>1281</v>
      </c>
      <c r="F337" s="58" t="s">
        <v>337</v>
      </c>
      <c r="G337" s="58">
        <v>0</v>
      </c>
      <c r="H337" s="59">
        <v>221295.98</v>
      </c>
      <c r="I337" s="60">
        <v>0</v>
      </c>
      <c r="J337" s="59">
        <v>221295.98</v>
      </c>
      <c r="K337" s="61" t="s">
        <v>330</v>
      </c>
      <c r="L337" s="62" t="s">
        <v>330</v>
      </c>
    </row>
    <row r="338" spans="1:12" x14ac:dyDescent="0.25">
      <c r="A338" s="57" t="s">
        <v>1280</v>
      </c>
      <c r="B338" s="58" t="s">
        <v>84</v>
      </c>
      <c r="C338" s="58"/>
      <c r="D338" s="58" t="s">
        <v>339</v>
      </c>
      <c r="E338" s="58" t="s">
        <v>1279</v>
      </c>
      <c r="F338" s="58" t="s">
        <v>337</v>
      </c>
      <c r="G338" s="58">
        <v>0</v>
      </c>
      <c r="H338" s="59">
        <v>900096.33</v>
      </c>
      <c r="I338" s="60">
        <v>0</v>
      </c>
      <c r="J338" s="59">
        <v>900096.33</v>
      </c>
      <c r="K338" s="61" t="s">
        <v>330</v>
      </c>
      <c r="L338" s="62" t="s">
        <v>330</v>
      </c>
    </row>
    <row r="339" spans="1:12" x14ac:dyDescent="0.25">
      <c r="A339" s="57" t="s">
        <v>1278</v>
      </c>
      <c r="B339" s="58" t="s">
        <v>84</v>
      </c>
      <c r="C339" s="58"/>
      <c r="D339" s="58" t="s">
        <v>339</v>
      </c>
      <c r="E339" s="58" t="s">
        <v>1277</v>
      </c>
      <c r="F339" s="58" t="s">
        <v>337</v>
      </c>
      <c r="G339" s="58">
        <v>0</v>
      </c>
      <c r="H339" s="59">
        <v>1169924.22</v>
      </c>
      <c r="I339" s="60">
        <v>0</v>
      </c>
      <c r="J339" s="59">
        <v>1169924.22</v>
      </c>
      <c r="K339" s="61" t="s">
        <v>330</v>
      </c>
      <c r="L339" s="62" t="s">
        <v>330</v>
      </c>
    </row>
    <row r="340" spans="1:12" x14ac:dyDescent="0.25">
      <c r="A340" s="57" t="s">
        <v>1276</v>
      </c>
      <c r="B340" s="58" t="s">
        <v>84</v>
      </c>
      <c r="C340" s="58"/>
      <c r="D340" s="58" t="s">
        <v>339</v>
      </c>
      <c r="E340" s="58" t="s">
        <v>1275</v>
      </c>
      <c r="F340" s="58" t="s">
        <v>337</v>
      </c>
      <c r="G340" s="58">
        <v>0</v>
      </c>
      <c r="H340" s="59">
        <v>1219658.77</v>
      </c>
      <c r="I340" s="60">
        <v>0</v>
      </c>
      <c r="J340" s="59">
        <v>1219658.77</v>
      </c>
      <c r="K340" s="61" t="s">
        <v>330</v>
      </c>
      <c r="L340" s="62" t="s">
        <v>330</v>
      </c>
    </row>
    <row r="341" spans="1:12" x14ac:dyDescent="0.25">
      <c r="A341" s="57" t="s">
        <v>1274</v>
      </c>
      <c r="B341" s="58" t="s">
        <v>84</v>
      </c>
      <c r="C341" s="58"/>
      <c r="D341" s="58" t="s">
        <v>339</v>
      </c>
      <c r="E341" s="58" t="s">
        <v>1273</v>
      </c>
      <c r="F341" s="58" t="s">
        <v>337</v>
      </c>
      <c r="G341" s="58">
        <v>0</v>
      </c>
      <c r="H341" s="59">
        <v>1574833.37</v>
      </c>
      <c r="I341" s="60">
        <v>0</v>
      </c>
      <c r="J341" s="59">
        <v>1574833.37</v>
      </c>
      <c r="K341" s="61" t="s">
        <v>330</v>
      </c>
      <c r="L341" s="62" t="s">
        <v>330</v>
      </c>
    </row>
    <row r="342" spans="1:12" x14ac:dyDescent="0.25">
      <c r="A342" s="57" t="s">
        <v>1272</v>
      </c>
      <c r="B342" s="58" t="s">
        <v>84</v>
      </c>
      <c r="C342" s="58" t="s">
        <v>1271</v>
      </c>
      <c r="D342" s="58" t="s">
        <v>355</v>
      </c>
      <c r="E342" s="58" t="s">
        <v>1270</v>
      </c>
      <c r="F342" s="58" t="s">
        <v>1269</v>
      </c>
      <c r="G342" s="58">
        <v>0.94950000000000001</v>
      </c>
      <c r="H342" s="59">
        <v>32836774.760000002</v>
      </c>
      <c r="I342" s="60">
        <v>31178236.210000001</v>
      </c>
      <c r="J342" s="59">
        <v>1658538.5500000007</v>
      </c>
      <c r="K342" s="63">
        <v>44564</v>
      </c>
      <c r="L342" s="64">
        <v>44944</v>
      </c>
    </row>
    <row r="343" spans="1:12" x14ac:dyDescent="0.25">
      <c r="A343" s="57" t="s">
        <v>82</v>
      </c>
      <c r="B343" s="58" t="s">
        <v>84</v>
      </c>
      <c r="C343" s="58" t="s">
        <v>762</v>
      </c>
      <c r="D343" s="58" t="s">
        <v>355</v>
      </c>
      <c r="E343" s="58" t="s">
        <v>1268</v>
      </c>
      <c r="F343" s="58" t="s">
        <v>1267</v>
      </c>
      <c r="G343" s="58">
        <v>0.95430000000000004</v>
      </c>
      <c r="H343" s="59">
        <v>36880209</v>
      </c>
      <c r="I343" s="60">
        <v>35196032.93</v>
      </c>
      <c r="J343" s="59">
        <v>1684176.0700000003</v>
      </c>
      <c r="K343" s="63">
        <v>44648</v>
      </c>
      <c r="L343" s="64">
        <v>45498</v>
      </c>
    </row>
    <row r="344" spans="1:12" x14ac:dyDescent="0.25">
      <c r="A344" s="57" t="s">
        <v>1266</v>
      </c>
      <c r="B344" s="58" t="s">
        <v>84</v>
      </c>
      <c r="C344" s="58"/>
      <c r="D344" s="58" t="s">
        <v>339</v>
      </c>
      <c r="E344" s="58" t="s">
        <v>1265</v>
      </c>
      <c r="F344" s="58" t="s">
        <v>337</v>
      </c>
      <c r="G344" s="58">
        <v>0</v>
      </c>
      <c r="H344" s="59">
        <v>1981586.67</v>
      </c>
      <c r="I344" s="60">
        <v>0</v>
      </c>
      <c r="J344" s="59">
        <v>1981586.67</v>
      </c>
      <c r="K344" s="61" t="s">
        <v>330</v>
      </c>
      <c r="L344" s="62" t="s">
        <v>330</v>
      </c>
    </row>
    <row r="345" spans="1:12" x14ac:dyDescent="0.25">
      <c r="A345" s="57" t="s">
        <v>1264</v>
      </c>
      <c r="B345" s="58" t="s">
        <v>84</v>
      </c>
      <c r="C345" s="58"/>
      <c r="D345" s="58" t="s">
        <v>339</v>
      </c>
      <c r="E345" s="58" t="s">
        <v>1263</v>
      </c>
      <c r="F345" s="58" t="s">
        <v>337</v>
      </c>
      <c r="G345" s="58">
        <v>0</v>
      </c>
      <c r="H345" s="59">
        <v>2148909.83</v>
      </c>
      <c r="I345" s="60">
        <v>0</v>
      </c>
      <c r="J345" s="59">
        <v>2148909.83</v>
      </c>
      <c r="K345" s="61" t="s">
        <v>330</v>
      </c>
      <c r="L345" s="62" t="s">
        <v>330</v>
      </c>
    </row>
    <row r="346" spans="1:12" x14ac:dyDescent="0.25">
      <c r="A346" s="57" t="s">
        <v>116</v>
      </c>
      <c r="B346" s="58" t="s">
        <v>84</v>
      </c>
      <c r="C346" s="58" t="s">
        <v>1262</v>
      </c>
      <c r="D346" s="58" t="s">
        <v>7</v>
      </c>
      <c r="E346" s="58" t="s">
        <v>1261</v>
      </c>
      <c r="F346" s="58" t="s">
        <v>495</v>
      </c>
      <c r="G346" s="58">
        <v>1.34E-2</v>
      </c>
      <c r="H346" s="59">
        <v>4705907.3</v>
      </c>
      <c r="I346" s="60">
        <v>63006.28</v>
      </c>
      <c r="J346" s="59">
        <v>4642901.0199999996</v>
      </c>
      <c r="K346" s="63">
        <v>46009</v>
      </c>
      <c r="L346" s="64">
        <v>46189</v>
      </c>
    </row>
    <row r="347" spans="1:12" x14ac:dyDescent="0.25">
      <c r="A347" s="57" t="s">
        <v>273</v>
      </c>
      <c r="B347" s="58" t="s">
        <v>84</v>
      </c>
      <c r="C347" s="58" t="s">
        <v>1260</v>
      </c>
      <c r="D347" s="58" t="s">
        <v>7</v>
      </c>
      <c r="E347" s="58" t="s">
        <v>1259</v>
      </c>
      <c r="F347" s="58" t="s">
        <v>1258</v>
      </c>
      <c r="G347" s="58">
        <v>0.5292</v>
      </c>
      <c r="H347" s="59">
        <v>10349390.52</v>
      </c>
      <c r="I347" s="60">
        <v>5476795.79</v>
      </c>
      <c r="J347" s="59">
        <v>4872594.7299999995</v>
      </c>
      <c r="K347" s="63">
        <v>45867</v>
      </c>
      <c r="L347" s="64">
        <v>46227</v>
      </c>
    </row>
    <row r="348" spans="1:12" x14ac:dyDescent="0.25">
      <c r="A348" s="57" t="s">
        <v>1257</v>
      </c>
      <c r="B348" s="58" t="s">
        <v>84</v>
      </c>
      <c r="C348" s="58"/>
      <c r="D348" s="58" t="s">
        <v>332</v>
      </c>
      <c r="E348" s="58" t="s">
        <v>1256</v>
      </c>
      <c r="F348" s="58" t="s">
        <v>337</v>
      </c>
      <c r="G348" s="58">
        <v>0</v>
      </c>
      <c r="H348" s="59">
        <v>50449079.340000004</v>
      </c>
      <c r="I348" s="60">
        <v>0</v>
      </c>
      <c r="J348" s="59">
        <v>50449079.340000004</v>
      </c>
      <c r="K348" s="61" t="s">
        <v>330</v>
      </c>
      <c r="L348" s="62" t="s">
        <v>330</v>
      </c>
    </row>
    <row r="349" spans="1:12" x14ac:dyDescent="0.25">
      <c r="A349" s="57" t="s">
        <v>1255</v>
      </c>
      <c r="B349" s="58" t="s">
        <v>84</v>
      </c>
      <c r="C349" s="58"/>
      <c r="D349" s="58" t="s">
        <v>396</v>
      </c>
      <c r="E349" s="58" t="s">
        <v>1254</v>
      </c>
      <c r="F349" s="58" t="s">
        <v>337</v>
      </c>
      <c r="G349" s="58">
        <v>0</v>
      </c>
      <c r="H349" s="59">
        <v>66023307.729999997</v>
      </c>
      <c r="I349" s="60">
        <v>0</v>
      </c>
      <c r="J349" s="59">
        <v>66023307.729999997</v>
      </c>
      <c r="K349" s="61" t="s">
        <v>330</v>
      </c>
      <c r="L349" s="62" t="s">
        <v>330</v>
      </c>
    </row>
    <row r="350" spans="1:12" x14ac:dyDescent="0.25">
      <c r="A350" s="57" t="s">
        <v>1253</v>
      </c>
      <c r="B350" s="58" t="s">
        <v>84</v>
      </c>
      <c r="C350" s="58"/>
      <c r="D350" s="58" t="s">
        <v>332</v>
      </c>
      <c r="E350" s="58" t="s">
        <v>1252</v>
      </c>
      <c r="F350" s="58" t="s">
        <v>337</v>
      </c>
      <c r="G350" s="58">
        <v>0</v>
      </c>
      <c r="H350" s="59">
        <v>72795499.799999997</v>
      </c>
      <c r="I350" s="60">
        <v>0</v>
      </c>
      <c r="J350" s="59">
        <v>72795499.799999997</v>
      </c>
      <c r="K350" s="61" t="s">
        <v>330</v>
      </c>
      <c r="L350" s="62" t="s">
        <v>330</v>
      </c>
    </row>
    <row r="351" spans="1:12" x14ac:dyDescent="0.25">
      <c r="A351" s="57" t="s">
        <v>1251</v>
      </c>
      <c r="B351" s="58" t="s">
        <v>84</v>
      </c>
      <c r="C351" s="58"/>
      <c r="D351" s="58" t="s">
        <v>396</v>
      </c>
      <c r="E351" s="58" t="s">
        <v>1250</v>
      </c>
      <c r="F351" s="58" t="s">
        <v>337</v>
      </c>
      <c r="G351" s="58">
        <v>0</v>
      </c>
      <c r="H351" s="59">
        <v>80966085.540000007</v>
      </c>
      <c r="I351" s="60">
        <v>0</v>
      </c>
      <c r="J351" s="59">
        <v>80966085.540000007</v>
      </c>
      <c r="K351" s="61" t="s">
        <v>330</v>
      </c>
      <c r="L351" s="62" t="s">
        <v>330</v>
      </c>
    </row>
    <row r="352" spans="1:12" x14ac:dyDescent="0.25">
      <c r="A352" s="57" t="s">
        <v>1249</v>
      </c>
      <c r="B352" s="58" t="s">
        <v>1248</v>
      </c>
      <c r="C352" s="58" t="s">
        <v>1247</v>
      </c>
      <c r="D352" s="58" t="s">
        <v>396</v>
      </c>
      <c r="E352" s="58" t="s">
        <v>1246</v>
      </c>
      <c r="F352" s="58" t="s">
        <v>1245</v>
      </c>
      <c r="G352" s="58">
        <v>0.30010000000000003</v>
      </c>
      <c r="H352" s="59">
        <v>4359500</v>
      </c>
      <c r="I352" s="60">
        <v>1308457.1399999999</v>
      </c>
      <c r="J352" s="59">
        <v>3051042.8600000003</v>
      </c>
      <c r="K352" s="63">
        <v>44826</v>
      </c>
      <c r="L352" s="62" t="s">
        <v>330</v>
      </c>
    </row>
    <row r="353" spans="1:12" x14ac:dyDescent="0.25">
      <c r="A353" s="57" t="s">
        <v>165</v>
      </c>
      <c r="B353" s="58" t="s">
        <v>167</v>
      </c>
      <c r="C353" s="58" t="s">
        <v>1244</v>
      </c>
      <c r="D353" s="58" t="s">
        <v>355</v>
      </c>
      <c r="E353" s="58" t="s">
        <v>1243</v>
      </c>
      <c r="F353" s="58" t="s">
        <v>420</v>
      </c>
      <c r="G353" s="58">
        <v>1</v>
      </c>
      <c r="H353" s="59">
        <v>1923627.23</v>
      </c>
      <c r="I353" s="60">
        <v>1923627.26</v>
      </c>
      <c r="J353" s="59">
        <v>-3.0000000027939677E-2</v>
      </c>
      <c r="K353" s="63">
        <v>44708</v>
      </c>
      <c r="L353" s="64">
        <v>45640</v>
      </c>
    </row>
    <row r="354" spans="1:12" x14ac:dyDescent="0.25">
      <c r="A354" s="57" t="s">
        <v>1242</v>
      </c>
      <c r="B354" s="58" t="s">
        <v>167</v>
      </c>
      <c r="C354" s="58"/>
      <c r="D354" s="58" t="s">
        <v>332</v>
      </c>
      <c r="E354" s="58" t="s">
        <v>1241</v>
      </c>
      <c r="F354" s="58" t="s">
        <v>337</v>
      </c>
      <c r="G354" s="58">
        <v>0</v>
      </c>
      <c r="H354" s="59">
        <v>0</v>
      </c>
      <c r="I354" s="60">
        <v>0</v>
      </c>
      <c r="J354" s="59">
        <v>0</v>
      </c>
      <c r="K354" s="61" t="s">
        <v>330</v>
      </c>
      <c r="L354" s="62" t="s">
        <v>330</v>
      </c>
    </row>
    <row r="355" spans="1:12" x14ac:dyDescent="0.25">
      <c r="A355" s="57" t="s">
        <v>1240</v>
      </c>
      <c r="B355" s="58" t="s">
        <v>167</v>
      </c>
      <c r="C355" s="58"/>
      <c r="D355" s="58" t="s">
        <v>332</v>
      </c>
      <c r="E355" s="58" t="s">
        <v>1239</v>
      </c>
      <c r="F355" s="58" t="s">
        <v>337</v>
      </c>
      <c r="G355" s="58">
        <v>0</v>
      </c>
      <c r="H355" s="59">
        <v>0</v>
      </c>
      <c r="I355" s="60">
        <v>0</v>
      </c>
      <c r="J355" s="59">
        <v>0</v>
      </c>
      <c r="K355" s="61" t="s">
        <v>330</v>
      </c>
      <c r="L355" s="62" t="s">
        <v>330</v>
      </c>
    </row>
    <row r="356" spans="1:12" x14ac:dyDescent="0.25">
      <c r="A356" s="57" t="s">
        <v>1238</v>
      </c>
      <c r="B356" s="58" t="s">
        <v>167</v>
      </c>
      <c r="C356" s="58"/>
      <c r="D356" s="58" t="s">
        <v>332</v>
      </c>
      <c r="E356" s="58" t="s">
        <v>1237</v>
      </c>
      <c r="F356" s="58" t="s">
        <v>337</v>
      </c>
      <c r="G356" s="58">
        <v>0</v>
      </c>
      <c r="H356" s="59">
        <v>0</v>
      </c>
      <c r="I356" s="60">
        <v>0</v>
      </c>
      <c r="J356" s="59">
        <v>0</v>
      </c>
      <c r="K356" s="61" t="s">
        <v>330</v>
      </c>
      <c r="L356" s="62" t="s">
        <v>330</v>
      </c>
    </row>
    <row r="357" spans="1:12" x14ac:dyDescent="0.25">
      <c r="A357" s="57" t="s">
        <v>1236</v>
      </c>
      <c r="B357" s="58" t="s">
        <v>167</v>
      </c>
      <c r="C357" s="58"/>
      <c r="D357" s="58" t="s">
        <v>332</v>
      </c>
      <c r="E357" s="58" t="s">
        <v>1235</v>
      </c>
      <c r="F357" s="58" t="s">
        <v>337</v>
      </c>
      <c r="G357" s="58">
        <v>0</v>
      </c>
      <c r="H357" s="59">
        <v>0</v>
      </c>
      <c r="I357" s="60">
        <v>0</v>
      </c>
      <c r="J357" s="59">
        <v>0</v>
      </c>
      <c r="K357" s="61" t="s">
        <v>330</v>
      </c>
      <c r="L357" s="62" t="s">
        <v>330</v>
      </c>
    </row>
    <row r="358" spans="1:12" x14ac:dyDescent="0.25">
      <c r="A358" s="57" t="s">
        <v>1234</v>
      </c>
      <c r="B358" s="58" t="s">
        <v>167</v>
      </c>
      <c r="C358" s="58"/>
      <c r="D358" s="58" t="s">
        <v>332</v>
      </c>
      <c r="E358" s="58" t="s">
        <v>1233</v>
      </c>
      <c r="F358" s="58" t="s">
        <v>337</v>
      </c>
      <c r="G358" s="58">
        <v>0</v>
      </c>
      <c r="H358" s="59">
        <v>0</v>
      </c>
      <c r="I358" s="60">
        <v>0</v>
      </c>
      <c r="J358" s="59">
        <v>0</v>
      </c>
      <c r="K358" s="61" t="s">
        <v>330</v>
      </c>
      <c r="L358" s="62" t="s">
        <v>330</v>
      </c>
    </row>
    <row r="359" spans="1:12" x14ac:dyDescent="0.25">
      <c r="A359" s="57" t="s">
        <v>1232</v>
      </c>
      <c r="B359" s="58" t="s">
        <v>167</v>
      </c>
      <c r="C359" s="58"/>
      <c r="D359" s="58" t="s">
        <v>332</v>
      </c>
      <c r="E359" s="58" t="s">
        <v>1231</v>
      </c>
      <c r="F359" s="58" t="s">
        <v>337</v>
      </c>
      <c r="G359" s="58">
        <v>0</v>
      </c>
      <c r="H359" s="59">
        <v>0</v>
      </c>
      <c r="I359" s="60">
        <v>0</v>
      </c>
      <c r="J359" s="59">
        <v>0</v>
      </c>
      <c r="K359" s="61" t="s">
        <v>330</v>
      </c>
      <c r="L359" s="62" t="s">
        <v>330</v>
      </c>
    </row>
    <row r="360" spans="1:12" x14ac:dyDescent="0.25">
      <c r="A360" s="57" t="s">
        <v>1230</v>
      </c>
      <c r="B360" s="58" t="s">
        <v>167</v>
      </c>
      <c r="C360" s="58"/>
      <c r="D360" s="58" t="s">
        <v>332</v>
      </c>
      <c r="E360" s="58" t="s">
        <v>1229</v>
      </c>
      <c r="F360" s="58" t="s">
        <v>337</v>
      </c>
      <c r="G360" s="58">
        <v>0</v>
      </c>
      <c r="H360" s="59">
        <v>0</v>
      </c>
      <c r="I360" s="60">
        <v>0</v>
      </c>
      <c r="J360" s="59">
        <v>0</v>
      </c>
      <c r="K360" s="61" t="s">
        <v>330</v>
      </c>
      <c r="L360" s="62" t="s">
        <v>330</v>
      </c>
    </row>
    <row r="361" spans="1:12" x14ac:dyDescent="0.25">
      <c r="A361" s="57" t="s">
        <v>1228</v>
      </c>
      <c r="B361" s="58" t="s">
        <v>167</v>
      </c>
      <c r="C361" s="58"/>
      <c r="D361" s="58" t="s">
        <v>332</v>
      </c>
      <c r="E361" s="58" t="s">
        <v>1227</v>
      </c>
      <c r="F361" s="58" t="s">
        <v>337</v>
      </c>
      <c r="G361" s="58">
        <v>0</v>
      </c>
      <c r="H361" s="59">
        <v>0</v>
      </c>
      <c r="I361" s="60">
        <v>0</v>
      </c>
      <c r="J361" s="59">
        <v>0</v>
      </c>
      <c r="K361" s="61" t="s">
        <v>330</v>
      </c>
      <c r="L361" s="62" t="s">
        <v>330</v>
      </c>
    </row>
    <row r="362" spans="1:12" x14ac:dyDescent="0.25">
      <c r="A362" s="57" t="s">
        <v>1226</v>
      </c>
      <c r="B362" s="58" t="s">
        <v>167</v>
      </c>
      <c r="C362" s="58"/>
      <c r="D362" s="58" t="s">
        <v>332</v>
      </c>
      <c r="E362" s="58" t="s">
        <v>1225</v>
      </c>
      <c r="F362" s="58" t="s">
        <v>337</v>
      </c>
      <c r="G362" s="58">
        <v>0</v>
      </c>
      <c r="H362" s="59">
        <v>0</v>
      </c>
      <c r="I362" s="60">
        <v>0</v>
      </c>
      <c r="J362" s="59">
        <v>0</v>
      </c>
      <c r="K362" s="61" t="s">
        <v>330</v>
      </c>
      <c r="L362" s="62" t="s">
        <v>330</v>
      </c>
    </row>
    <row r="363" spans="1:12" x14ac:dyDescent="0.25">
      <c r="A363" s="57" t="s">
        <v>1224</v>
      </c>
      <c r="B363" s="58" t="s">
        <v>167</v>
      </c>
      <c r="C363" s="58"/>
      <c r="D363" s="58" t="s">
        <v>332</v>
      </c>
      <c r="E363" s="58" t="s">
        <v>1223</v>
      </c>
      <c r="F363" s="58" t="s">
        <v>337</v>
      </c>
      <c r="G363" s="58">
        <v>0</v>
      </c>
      <c r="H363" s="59">
        <v>0</v>
      </c>
      <c r="I363" s="60">
        <v>0</v>
      </c>
      <c r="J363" s="59">
        <v>0</v>
      </c>
      <c r="K363" s="61" t="s">
        <v>330</v>
      </c>
      <c r="L363" s="62" t="s">
        <v>330</v>
      </c>
    </row>
    <row r="364" spans="1:12" x14ac:dyDescent="0.25">
      <c r="A364" s="57" t="s">
        <v>1222</v>
      </c>
      <c r="B364" s="58" t="s">
        <v>167</v>
      </c>
      <c r="C364" s="58"/>
      <c r="D364" s="58" t="s">
        <v>332</v>
      </c>
      <c r="E364" s="58" t="s">
        <v>1221</v>
      </c>
      <c r="F364" s="58" t="s">
        <v>337</v>
      </c>
      <c r="G364" s="58">
        <v>0</v>
      </c>
      <c r="H364" s="59">
        <v>0</v>
      </c>
      <c r="I364" s="60">
        <v>0</v>
      </c>
      <c r="J364" s="59">
        <v>0</v>
      </c>
      <c r="K364" s="61" t="s">
        <v>330</v>
      </c>
      <c r="L364" s="62" t="s">
        <v>330</v>
      </c>
    </row>
    <row r="365" spans="1:12" x14ac:dyDescent="0.25">
      <c r="A365" s="57" t="s">
        <v>1220</v>
      </c>
      <c r="B365" s="58" t="s">
        <v>167</v>
      </c>
      <c r="C365" s="58"/>
      <c r="D365" s="58" t="s">
        <v>332</v>
      </c>
      <c r="E365" s="58" t="s">
        <v>1219</v>
      </c>
      <c r="F365" s="58" t="s">
        <v>337</v>
      </c>
      <c r="G365" s="58">
        <v>0</v>
      </c>
      <c r="H365" s="59">
        <v>0</v>
      </c>
      <c r="I365" s="60">
        <v>0</v>
      </c>
      <c r="J365" s="59">
        <v>0</v>
      </c>
      <c r="K365" s="61" t="s">
        <v>330</v>
      </c>
      <c r="L365" s="62" t="s">
        <v>330</v>
      </c>
    </row>
    <row r="366" spans="1:12" x14ac:dyDescent="0.25">
      <c r="A366" s="57" t="s">
        <v>1218</v>
      </c>
      <c r="B366" s="58" t="s">
        <v>167</v>
      </c>
      <c r="C366" s="58"/>
      <c r="D366" s="58" t="s">
        <v>332</v>
      </c>
      <c r="E366" s="58" t="s">
        <v>1217</v>
      </c>
      <c r="F366" s="58" t="s">
        <v>337</v>
      </c>
      <c r="G366" s="58">
        <v>0</v>
      </c>
      <c r="H366" s="59">
        <v>0</v>
      </c>
      <c r="I366" s="60">
        <v>0</v>
      </c>
      <c r="J366" s="59">
        <v>0</v>
      </c>
      <c r="K366" s="61" t="s">
        <v>330</v>
      </c>
      <c r="L366" s="62" t="s">
        <v>330</v>
      </c>
    </row>
    <row r="367" spans="1:12" x14ac:dyDescent="0.25">
      <c r="A367" s="57" t="s">
        <v>1216</v>
      </c>
      <c r="B367" s="58" t="s">
        <v>167</v>
      </c>
      <c r="C367" s="58"/>
      <c r="D367" s="58" t="s">
        <v>332</v>
      </c>
      <c r="E367" s="58" t="s">
        <v>1215</v>
      </c>
      <c r="F367" s="58" t="s">
        <v>337</v>
      </c>
      <c r="G367" s="58">
        <v>0</v>
      </c>
      <c r="H367" s="59">
        <v>0</v>
      </c>
      <c r="I367" s="60">
        <v>0</v>
      </c>
      <c r="J367" s="59">
        <v>0</v>
      </c>
      <c r="K367" s="61" t="s">
        <v>330</v>
      </c>
      <c r="L367" s="62" t="s">
        <v>330</v>
      </c>
    </row>
    <row r="368" spans="1:12" x14ac:dyDescent="0.25">
      <c r="A368" s="57" t="s">
        <v>1214</v>
      </c>
      <c r="B368" s="58" t="s">
        <v>167</v>
      </c>
      <c r="C368" s="58" t="s">
        <v>679</v>
      </c>
      <c r="D368" s="58" t="s">
        <v>355</v>
      </c>
      <c r="E368" s="58" t="s">
        <v>1213</v>
      </c>
      <c r="F368" s="58" t="s">
        <v>1212</v>
      </c>
      <c r="G368" s="58">
        <v>1</v>
      </c>
      <c r="H368" s="59">
        <v>3552093.82</v>
      </c>
      <c r="I368" s="60">
        <v>3552073.13</v>
      </c>
      <c r="J368" s="59">
        <v>20.689999999944121</v>
      </c>
      <c r="K368" s="63">
        <v>45034</v>
      </c>
      <c r="L368" s="64">
        <v>45034</v>
      </c>
    </row>
    <row r="369" spans="1:12" x14ac:dyDescent="0.25">
      <c r="A369" s="57" t="s">
        <v>1211</v>
      </c>
      <c r="B369" s="58" t="s">
        <v>167</v>
      </c>
      <c r="C369" s="58"/>
      <c r="D369" s="58" t="s">
        <v>332</v>
      </c>
      <c r="E369" s="58" t="s">
        <v>1210</v>
      </c>
      <c r="F369" s="58" t="s">
        <v>337</v>
      </c>
      <c r="G369" s="58">
        <v>0</v>
      </c>
      <c r="H369" s="59">
        <v>5801.82</v>
      </c>
      <c r="I369" s="60">
        <v>0</v>
      </c>
      <c r="J369" s="59">
        <v>5801.82</v>
      </c>
      <c r="K369" s="61" t="s">
        <v>330</v>
      </c>
      <c r="L369" s="62" t="s">
        <v>330</v>
      </c>
    </row>
    <row r="370" spans="1:12" x14ac:dyDescent="0.25">
      <c r="A370" s="57" t="s">
        <v>1209</v>
      </c>
      <c r="B370" s="58" t="s">
        <v>167</v>
      </c>
      <c r="C370" s="58"/>
      <c r="D370" s="58" t="s">
        <v>332</v>
      </c>
      <c r="E370" s="58" t="s">
        <v>1208</v>
      </c>
      <c r="F370" s="58" t="s">
        <v>337</v>
      </c>
      <c r="G370" s="58">
        <v>0</v>
      </c>
      <c r="H370" s="59">
        <v>11913.72</v>
      </c>
      <c r="I370" s="60">
        <v>0</v>
      </c>
      <c r="J370" s="59">
        <v>11913.72</v>
      </c>
      <c r="K370" s="61" t="s">
        <v>330</v>
      </c>
      <c r="L370" s="62" t="s">
        <v>330</v>
      </c>
    </row>
    <row r="371" spans="1:12" x14ac:dyDescent="0.25">
      <c r="A371" s="57" t="s">
        <v>1207</v>
      </c>
      <c r="B371" s="58" t="s">
        <v>167</v>
      </c>
      <c r="C371" s="58"/>
      <c r="D371" s="58" t="s">
        <v>332</v>
      </c>
      <c r="E371" s="58" t="s">
        <v>1206</v>
      </c>
      <c r="F371" s="58" t="s">
        <v>337</v>
      </c>
      <c r="G371" s="58">
        <v>0</v>
      </c>
      <c r="H371" s="59">
        <v>14779.82</v>
      </c>
      <c r="I371" s="60">
        <v>0</v>
      </c>
      <c r="J371" s="59">
        <v>14779.82</v>
      </c>
      <c r="K371" s="61" t="s">
        <v>330</v>
      </c>
      <c r="L371" s="62" t="s">
        <v>330</v>
      </c>
    </row>
    <row r="372" spans="1:12" x14ac:dyDescent="0.25">
      <c r="A372" s="57" t="s">
        <v>1205</v>
      </c>
      <c r="B372" s="58" t="s">
        <v>167</v>
      </c>
      <c r="C372" s="58"/>
      <c r="D372" s="58" t="s">
        <v>332</v>
      </c>
      <c r="E372" s="58" t="s">
        <v>1204</v>
      </c>
      <c r="F372" s="58" t="s">
        <v>337</v>
      </c>
      <c r="G372" s="58">
        <v>0</v>
      </c>
      <c r="H372" s="59">
        <v>15093.94</v>
      </c>
      <c r="I372" s="60">
        <v>0</v>
      </c>
      <c r="J372" s="59">
        <v>15093.94</v>
      </c>
      <c r="K372" s="61" t="s">
        <v>330</v>
      </c>
      <c r="L372" s="62" t="s">
        <v>330</v>
      </c>
    </row>
    <row r="373" spans="1:12" x14ac:dyDescent="0.25">
      <c r="A373" s="57" t="s">
        <v>1203</v>
      </c>
      <c r="B373" s="58" t="s">
        <v>167</v>
      </c>
      <c r="C373" s="58"/>
      <c r="D373" s="58" t="s">
        <v>332</v>
      </c>
      <c r="E373" s="58" t="s">
        <v>1202</v>
      </c>
      <c r="F373" s="58"/>
      <c r="G373" s="58">
        <v>0</v>
      </c>
      <c r="H373" s="59">
        <v>17410.75</v>
      </c>
      <c r="I373" s="60">
        <v>0</v>
      </c>
      <c r="J373" s="59">
        <v>17410.75</v>
      </c>
      <c r="K373" s="61" t="s">
        <v>330</v>
      </c>
      <c r="L373" s="62" t="s">
        <v>330</v>
      </c>
    </row>
    <row r="374" spans="1:12" x14ac:dyDescent="0.25">
      <c r="A374" s="57" t="s">
        <v>1201</v>
      </c>
      <c r="B374" s="58" t="s">
        <v>167</v>
      </c>
      <c r="C374" s="58"/>
      <c r="D374" s="58" t="s">
        <v>332</v>
      </c>
      <c r="E374" s="58" t="s">
        <v>1200</v>
      </c>
      <c r="F374" s="58" t="s">
        <v>337</v>
      </c>
      <c r="G374" s="58">
        <v>0</v>
      </c>
      <c r="H374" s="59">
        <v>18169.77</v>
      </c>
      <c r="I374" s="60">
        <v>0</v>
      </c>
      <c r="J374" s="59">
        <v>18169.77</v>
      </c>
      <c r="K374" s="61" t="s">
        <v>330</v>
      </c>
      <c r="L374" s="62" t="s">
        <v>330</v>
      </c>
    </row>
    <row r="375" spans="1:12" x14ac:dyDescent="0.25">
      <c r="A375" s="57" t="s">
        <v>1199</v>
      </c>
      <c r="B375" s="58" t="s">
        <v>167</v>
      </c>
      <c r="C375" s="58" t="s">
        <v>1198</v>
      </c>
      <c r="D375" s="58" t="s">
        <v>396</v>
      </c>
      <c r="E375" s="58" t="s">
        <v>1197</v>
      </c>
      <c r="F375" s="58" t="s">
        <v>725</v>
      </c>
      <c r="G375" s="58">
        <v>0.45990000000000003</v>
      </c>
      <c r="H375" s="59">
        <v>231782.75</v>
      </c>
      <c r="I375" s="60">
        <v>106585.96</v>
      </c>
      <c r="J375" s="59">
        <v>125196.79</v>
      </c>
      <c r="K375" s="63">
        <v>44949</v>
      </c>
      <c r="L375" s="62" t="s">
        <v>330</v>
      </c>
    </row>
    <row r="376" spans="1:12" x14ac:dyDescent="0.25">
      <c r="A376" s="57" t="s">
        <v>322</v>
      </c>
      <c r="B376" s="58" t="s">
        <v>167</v>
      </c>
      <c r="C376" s="58" t="s">
        <v>1196</v>
      </c>
      <c r="D376" s="58" t="s">
        <v>355</v>
      </c>
      <c r="E376" s="58" t="s">
        <v>1195</v>
      </c>
      <c r="F376" s="58" t="s">
        <v>1194</v>
      </c>
      <c r="G376" s="58">
        <v>0.97230000000000005</v>
      </c>
      <c r="H376" s="59">
        <v>15078640.210000001</v>
      </c>
      <c r="I376" s="60">
        <v>14660282.369999999</v>
      </c>
      <c r="J376" s="59">
        <v>418357.84000000171</v>
      </c>
      <c r="K376" s="63">
        <v>45497</v>
      </c>
      <c r="L376" s="64">
        <v>45301</v>
      </c>
    </row>
    <row r="377" spans="1:12" x14ac:dyDescent="0.25">
      <c r="A377" s="57" t="s">
        <v>1193</v>
      </c>
      <c r="B377" s="58" t="s">
        <v>167</v>
      </c>
      <c r="C377" s="58"/>
      <c r="D377" s="58" t="s">
        <v>332</v>
      </c>
      <c r="E377" s="58" t="s">
        <v>1192</v>
      </c>
      <c r="F377" s="58" t="s">
        <v>337</v>
      </c>
      <c r="G377" s="58">
        <v>0</v>
      </c>
      <c r="H377" s="59">
        <v>2499362.33</v>
      </c>
      <c r="I377" s="60">
        <v>0</v>
      </c>
      <c r="J377" s="59">
        <v>2499362.33</v>
      </c>
      <c r="K377" s="61" t="s">
        <v>330</v>
      </c>
      <c r="L377" s="62" t="s">
        <v>330</v>
      </c>
    </row>
    <row r="378" spans="1:12" x14ac:dyDescent="0.25">
      <c r="A378" s="57" t="s">
        <v>1191</v>
      </c>
      <c r="B378" s="58" t="s">
        <v>167</v>
      </c>
      <c r="C378" s="58" t="s">
        <v>1190</v>
      </c>
      <c r="D378" s="58" t="s">
        <v>396</v>
      </c>
      <c r="E378" s="58" t="s">
        <v>1189</v>
      </c>
      <c r="F378" s="58" t="s">
        <v>1188</v>
      </c>
      <c r="G378" s="58">
        <v>0</v>
      </c>
      <c r="H378" s="59">
        <v>2787755.29</v>
      </c>
      <c r="I378" s="60">
        <v>0</v>
      </c>
      <c r="J378" s="59">
        <v>2787755.29</v>
      </c>
      <c r="K378" s="61" t="s">
        <v>330</v>
      </c>
      <c r="L378" s="62" t="s">
        <v>330</v>
      </c>
    </row>
    <row r="379" spans="1:12" x14ac:dyDescent="0.25">
      <c r="A379" s="57" t="s">
        <v>1187</v>
      </c>
      <c r="B379" s="58" t="s">
        <v>167</v>
      </c>
      <c r="C379" s="58"/>
      <c r="D379" s="58" t="s">
        <v>332</v>
      </c>
      <c r="E379" s="58" t="s">
        <v>1186</v>
      </c>
      <c r="F379" s="58" t="s">
        <v>337</v>
      </c>
      <c r="G379" s="58">
        <v>0</v>
      </c>
      <c r="H379" s="59">
        <v>2957697.52</v>
      </c>
      <c r="I379" s="60">
        <v>0</v>
      </c>
      <c r="J379" s="59">
        <v>2957697.52</v>
      </c>
      <c r="K379" s="61" t="s">
        <v>330</v>
      </c>
      <c r="L379" s="62" t="s">
        <v>330</v>
      </c>
    </row>
    <row r="380" spans="1:12" x14ac:dyDescent="0.25">
      <c r="A380" s="57" t="s">
        <v>311</v>
      </c>
      <c r="B380" s="58" t="s">
        <v>167</v>
      </c>
      <c r="C380" s="58" t="s">
        <v>925</v>
      </c>
      <c r="D380" s="58" t="s">
        <v>7</v>
      </c>
      <c r="E380" s="58" t="s">
        <v>1185</v>
      </c>
      <c r="F380" s="58" t="s">
        <v>611</v>
      </c>
      <c r="G380" s="58">
        <v>0.94799999999999995</v>
      </c>
      <c r="H380" s="59">
        <v>59148617.810000002</v>
      </c>
      <c r="I380" s="60">
        <v>56075178.640000001</v>
      </c>
      <c r="J380" s="59">
        <v>3073439.1700000018</v>
      </c>
      <c r="K380" s="63">
        <v>44726</v>
      </c>
      <c r="L380" s="64">
        <v>46006</v>
      </c>
    </row>
    <row r="381" spans="1:12" x14ac:dyDescent="0.25">
      <c r="A381" s="57" t="s">
        <v>1184</v>
      </c>
      <c r="B381" s="58" t="s">
        <v>167</v>
      </c>
      <c r="C381" s="58" t="s">
        <v>1183</v>
      </c>
      <c r="D381" s="58" t="s">
        <v>396</v>
      </c>
      <c r="E381" s="58" t="s">
        <v>1182</v>
      </c>
      <c r="F381" s="58" t="s">
        <v>1181</v>
      </c>
      <c r="G381" s="58">
        <v>0</v>
      </c>
      <c r="H381" s="59">
        <v>3550960.6</v>
      </c>
      <c r="I381" s="60">
        <v>0</v>
      </c>
      <c r="J381" s="59">
        <v>3550960.6</v>
      </c>
      <c r="K381" s="63">
        <v>44676</v>
      </c>
      <c r="L381" s="62" t="s">
        <v>330</v>
      </c>
    </row>
    <row r="382" spans="1:12" x14ac:dyDescent="0.25">
      <c r="A382" s="57" t="s">
        <v>1180</v>
      </c>
      <c r="B382" s="58" t="s">
        <v>167</v>
      </c>
      <c r="C382" s="58" t="s">
        <v>1179</v>
      </c>
      <c r="D382" s="58" t="s">
        <v>396</v>
      </c>
      <c r="E382" s="58" t="s">
        <v>1178</v>
      </c>
      <c r="F382" s="58" t="s">
        <v>495</v>
      </c>
      <c r="G382" s="58">
        <v>0</v>
      </c>
      <c r="H382" s="59">
        <v>4448187.1900000004</v>
      </c>
      <c r="I382" s="60">
        <v>0</v>
      </c>
      <c r="J382" s="59">
        <v>4448187.1900000004</v>
      </c>
      <c r="K382" s="61" t="s">
        <v>330</v>
      </c>
      <c r="L382" s="62" t="s">
        <v>330</v>
      </c>
    </row>
    <row r="383" spans="1:12" x14ac:dyDescent="0.25">
      <c r="A383" s="57" t="s">
        <v>1177</v>
      </c>
      <c r="B383" s="58" t="s">
        <v>167</v>
      </c>
      <c r="C383" s="58" t="s">
        <v>1176</v>
      </c>
      <c r="D383" s="58" t="s">
        <v>396</v>
      </c>
      <c r="E383" s="58" t="s">
        <v>1175</v>
      </c>
      <c r="F383" s="58" t="s">
        <v>683</v>
      </c>
      <c r="G383" s="58">
        <v>0.16940000000000002</v>
      </c>
      <c r="H383" s="59">
        <v>8916839.2799999993</v>
      </c>
      <c r="I383" s="60">
        <v>1510854.4</v>
      </c>
      <c r="J383" s="59">
        <v>7405984.879999999</v>
      </c>
      <c r="K383" s="63">
        <v>44643</v>
      </c>
      <c r="L383" s="62" t="s">
        <v>330</v>
      </c>
    </row>
    <row r="384" spans="1:12" x14ac:dyDescent="0.25">
      <c r="A384" s="57" t="s">
        <v>1174</v>
      </c>
      <c r="B384" s="58" t="s">
        <v>167</v>
      </c>
      <c r="C384" s="58"/>
      <c r="D384" s="58" t="s">
        <v>332</v>
      </c>
      <c r="E384" s="58" t="s">
        <v>1173</v>
      </c>
      <c r="F384" s="58" t="s">
        <v>337</v>
      </c>
      <c r="G384" s="58">
        <v>0</v>
      </c>
      <c r="H384" s="59">
        <v>10523249.92</v>
      </c>
      <c r="I384" s="60">
        <v>0</v>
      </c>
      <c r="J384" s="59">
        <v>10523249.92</v>
      </c>
      <c r="K384" s="61" t="s">
        <v>330</v>
      </c>
      <c r="L384" s="62" t="s">
        <v>330</v>
      </c>
    </row>
    <row r="385" spans="1:12" x14ac:dyDescent="0.25">
      <c r="A385" s="57" t="s">
        <v>1172</v>
      </c>
      <c r="B385" s="58" t="s">
        <v>167</v>
      </c>
      <c r="C385" s="58" t="s">
        <v>1171</v>
      </c>
      <c r="D385" s="58" t="s">
        <v>396</v>
      </c>
      <c r="E385" s="58" t="s">
        <v>1170</v>
      </c>
      <c r="F385" s="58" t="s">
        <v>495</v>
      </c>
      <c r="G385" s="58">
        <v>0</v>
      </c>
      <c r="H385" s="59">
        <v>16701432.07</v>
      </c>
      <c r="I385" s="60">
        <v>0</v>
      </c>
      <c r="J385" s="59">
        <v>16701432.07</v>
      </c>
      <c r="K385" s="63">
        <v>44223</v>
      </c>
      <c r="L385" s="62" t="s">
        <v>330</v>
      </c>
    </row>
    <row r="386" spans="1:12" x14ac:dyDescent="0.25">
      <c r="A386" s="57" t="s">
        <v>1169</v>
      </c>
      <c r="B386" s="58" t="s">
        <v>167</v>
      </c>
      <c r="C386" s="58"/>
      <c r="D386" s="58" t="s">
        <v>396</v>
      </c>
      <c r="E386" s="58" t="s">
        <v>1168</v>
      </c>
      <c r="F386" s="58" t="s">
        <v>337</v>
      </c>
      <c r="G386" s="58">
        <v>0</v>
      </c>
      <c r="H386" s="59">
        <v>43286382.68</v>
      </c>
      <c r="I386" s="60">
        <v>0</v>
      </c>
      <c r="J386" s="59">
        <v>43286382.68</v>
      </c>
      <c r="K386" s="61" t="s">
        <v>330</v>
      </c>
      <c r="L386" s="62" t="s">
        <v>330</v>
      </c>
    </row>
    <row r="387" spans="1:12" x14ac:dyDescent="0.25">
      <c r="A387" s="57" t="s">
        <v>287</v>
      </c>
      <c r="B387" s="58" t="s">
        <v>288</v>
      </c>
      <c r="C387" s="58"/>
      <c r="D387" s="58" t="s">
        <v>355</v>
      </c>
      <c r="E387" s="58" t="s">
        <v>1167</v>
      </c>
      <c r="F387" s="58" t="s">
        <v>763</v>
      </c>
      <c r="G387" s="58">
        <v>0</v>
      </c>
      <c r="H387" s="59">
        <v>62980000</v>
      </c>
      <c r="I387" s="60">
        <v>62980000</v>
      </c>
      <c r="J387" s="59">
        <v>0</v>
      </c>
      <c r="K387" s="63">
        <v>43930</v>
      </c>
      <c r="L387" s="64">
        <v>44011</v>
      </c>
    </row>
    <row r="388" spans="1:12" x14ac:dyDescent="0.25">
      <c r="A388" s="57" t="s">
        <v>48</v>
      </c>
      <c r="B388" s="58" t="s">
        <v>288</v>
      </c>
      <c r="C388" s="58" t="s">
        <v>1166</v>
      </c>
      <c r="D388" s="58" t="s">
        <v>7</v>
      </c>
      <c r="E388" s="58" t="s">
        <v>1165</v>
      </c>
      <c r="F388" s="58" t="s">
        <v>1164</v>
      </c>
      <c r="G388" s="58">
        <v>0.99769999999999992</v>
      </c>
      <c r="H388" s="59">
        <v>19451386.879999999</v>
      </c>
      <c r="I388" s="60">
        <v>19406169.390000001</v>
      </c>
      <c r="J388" s="59">
        <v>45217.489999998361</v>
      </c>
      <c r="K388" s="63">
        <v>45247</v>
      </c>
      <c r="L388" s="64">
        <v>46001</v>
      </c>
    </row>
    <row r="389" spans="1:12" x14ac:dyDescent="0.25">
      <c r="A389" s="57" t="s">
        <v>121</v>
      </c>
      <c r="B389" s="58" t="s">
        <v>288</v>
      </c>
      <c r="C389" s="58" t="s">
        <v>1163</v>
      </c>
      <c r="D389" s="58" t="s">
        <v>7</v>
      </c>
      <c r="E389" s="58" t="s">
        <v>1162</v>
      </c>
      <c r="F389" s="58" t="s">
        <v>353</v>
      </c>
      <c r="G389" s="58">
        <v>0.96660000000000001</v>
      </c>
      <c r="H389" s="59">
        <v>20106028.530000001</v>
      </c>
      <c r="I389" s="60">
        <v>19434508.219999999</v>
      </c>
      <c r="J389" s="59">
        <v>671520.31000000238</v>
      </c>
      <c r="K389" s="63">
        <v>44991</v>
      </c>
      <c r="L389" s="64">
        <v>46094</v>
      </c>
    </row>
    <row r="390" spans="1:12" x14ac:dyDescent="0.25">
      <c r="A390" s="57" t="s">
        <v>69</v>
      </c>
      <c r="B390" s="58" t="s">
        <v>288</v>
      </c>
      <c r="C390" s="58" t="s">
        <v>1161</v>
      </c>
      <c r="D390" s="58" t="s">
        <v>355</v>
      </c>
      <c r="E390" s="58" t="s">
        <v>1160</v>
      </c>
      <c r="F390" s="58" t="s">
        <v>683</v>
      </c>
      <c r="G390" s="58">
        <v>0.9577</v>
      </c>
      <c r="H390" s="59">
        <v>34508101.149999999</v>
      </c>
      <c r="I390" s="60">
        <v>33048630.329999998</v>
      </c>
      <c r="J390" s="59">
        <v>1459470.8200000003</v>
      </c>
      <c r="K390" s="63">
        <v>44690</v>
      </c>
      <c r="L390" s="64">
        <v>45621</v>
      </c>
    </row>
    <row r="391" spans="1:12" x14ac:dyDescent="0.25">
      <c r="A391" s="57" t="s">
        <v>36</v>
      </c>
      <c r="B391" s="58" t="s">
        <v>288</v>
      </c>
      <c r="C391" s="58" t="s">
        <v>1159</v>
      </c>
      <c r="D391" s="58" t="s">
        <v>7</v>
      </c>
      <c r="E391" s="58" t="s">
        <v>1158</v>
      </c>
      <c r="F391" s="58" t="s">
        <v>1157</v>
      </c>
      <c r="G391" s="58">
        <v>0.97109999999999996</v>
      </c>
      <c r="H391" s="59">
        <v>58086688.759999998</v>
      </c>
      <c r="I391" s="60">
        <v>56408550.909999996</v>
      </c>
      <c r="J391" s="59">
        <v>1678137.8500000015</v>
      </c>
      <c r="K391" s="63">
        <v>44831</v>
      </c>
      <c r="L391" s="64">
        <v>45619</v>
      </c>
    </row>
    <row r="392" spans="1:12" x14ac:dyDescent="0.25">
      <c r="A392" s="57" t="s">
        <v>1156</v>
      </c>
      <c r="B392" s="58" t="s">
        <v>288</v>
      </c>
      <c r="C392" s="58"/>
      <c r="D392" s="58" t="s">
        <v>339</v>
      </c>
      <c r="E392" s="58" t="s">
        <v>1155</v>
      </c>
      <c r="F392" s="58" t="s">
        <v>337</v>
      </c>
      <c r="G392" s="58">
        <v>0</v>
      </c>
      <c r="H392" s="59">
        <v>6244325.3200000003</v>
      </c>
      <c r="I392" s="60">
        <v>0</v>
      </c>
      <c r="J392" s="59">
        <v>6244325.3200000003</v>
      </c>
      <c r="K392" s="61" t="s">
        <v>330</v>
      </c>
      <c r="L392" s="62" t="s">
        <v>330</v>
      </c>
    </row>
    <row r="393" spans="1:12" x14ac:dyDescent="0.25">
      <c r="A393" s="57" t="s">
        <v>1154</v>
      </c>
      <c r="B393" s="58" t="s">
        <v>288</v>
      </c>
      <c r="C393" s="58"/>
      <c r="D393" s="58" t="s">
        <v>332</v>
      </c>
      <c r="E393" s="58" t="s">
        <v>1153</v>
      </c>
      <c r="F393" s="58" t="s">
        <v>337</v>
      </c>
      <c r="G393" s="58">
        <v>0</v>
      </c>
      <c r="H393" s="59">
        <v>7304528.6100000003</v>
      </c>
      <c r="I393" s="60">
        <v>0</v>
      </c>
      <c r="J393" s="59">
        <v>7304528.6100000003</v>
      </c>
      <c r="K393" s="61" t="s">
        <v>330</v>
      </c>
      <c r="L393" s="62" t="s">
        <v>330</v>
      </c>
    </row>
    <row r="394" spans="1:12" x14ac:dyDescent="0.25">
      <c r="A394" s="57" t="s">
        <v>128</v>
      </c>
      <c r="B394" s="58" t="s">
        <v>288</v>
      </c>
      <c r="C394" s="58" t="s">
        <v>1152</v>
      </c>
      <c r="D394" s="58" t="s">
        <v>7</v>
      </c>
      <c r="E394" s="58" t="s">
        <v>1151</v>
      </c>
      <c r="F394" s="58" t="s">
        <v>343</v>
      </c>
      <c r="G394" s="58">
        <v>0.69730000000000003</v>
      </c>
      <c r="H394" s="59">
        <v>28459856.91</v>
      </c>
      <c r="I394" s="60">
        <v>19844966.579999998</v>
      </c>
      <c r="J394" s="59">
        <v>8614890.3300000019</v>
      </c>
      <c r="K394" s="63">
        <v>45035</v>
      </c>
      <c r="L394" s="64">
        <v>46205</v>
      </c>
    </row>
    <row r="395" spans="1:12" x14ac:dyDescent="0.25">
      <c r="A395" s="57" t="s">
        <v>119</v>
      </c>
      <c r="B395" s="58" t="s">
        <v>288</v>
      </c>
      <c r="C395" s="58" t="s">
        <v>1150</v>
      </c>
      <c r="D395" s="58" t="s">
        <v>7</v>
      </c>
      <c r="E395" s="58" t="s">
        <v>1149</v>
      </c>
      <c r="F395" s="58" t="s">
        <v>1148</v>
      </c>
      <c r="G395" s="58">
        <v>0.78049999999999997</v>
      </c>
      <c r="H395" s="59">
        <v>45862409.689999998</v>
      </c>
      <c r="I395" s="60">
        <v>35796161.979999997</v>
      </c>
      <c r="J395" s="59">
        <v>10066247.710000001</v>
      </c>
      <c r="K395" s="63">
        <v>45352</v>
      </c>
      <c r="L395" s="64">
        <v>46255</v>
      </c>
    </row>
    <row r="396" spans="1:12" x14ac:dyDescent="0.25">
      <c r="A396" s="57" t="s">
        <v>54</v>
      </c>
      <c r="B396" s="58" t="s">
        <v>288</v>
      </c>
      <c r="C396" s="58" t="s">
        <v>1147</v>
      </c>
      <c r="D396" s="58" t="s">
        <v>426</v>
      </c>
      <c r="E396" s="58" t="s">
        <v>1146</v>
      </c>
      <c r="F396" s="58" t="s">
        <v>683</v>
      </c>
      <c r="G396" s="58">
        <v>1.32E-2</v>
      </c>
      <c r="H396" s="59">
        <v>11494433.26</v>
      </c>
      <c r="I396" s="60">
        <v>151285.62</v>
      </c>
      <c r="J396" s="59">
        <v>11343147.640000001</v>
      </c>
      <c r="K396" s="63">
        <v>45105</v>
      </c>
      <c r="L396" s="64">
        <v>45706</v>
      </c>
    </row>
    <row r="397" spans="1:12" x14ac:dyDescent="0.25">
      <c r="A397" s="57" t="s">
        <v>1145</v>
      </c>
      <c r="B397" s="58" t="s">
        <v>288</v>
      </c>
      <c r="C397" s="58"/>
      <c r="D397" s="58" t="s">
        <v>332</v>
      </c>
      <c r="E397" s="58" t="s">
        <v>1144</v>
      </c>
      <c r="F397" s="58" t="s">
        <v>337</v>
      </c>
      <c r="G397" s="58">
        <v>0</v>
      </c>
      <c r="H397" s="59">
        <v>12996232.34</v>
      </c>
      <c r="I397" s="60">
        <v>0</v>
      </c>
      <c r="J397" s="59">
        <v>12996232.34</v>
      </c>
      <c r="K397" s="61" t="s">
        <v>330</v>
      </c>
      <c r="L397" s="62" t="s">
        <v>330</v>
      </c>
    </row>
    <row r="398" spans="1:12" x14ac:dyDescent="0.25">
      <c r="A398" s="57" t="s">
        <v>1143</v>
      </c>
      <c r="B398" s="58" t="s">
        <v>288</v>
      </c>
      <c r="C398" s="58"/>
      <c r="D398" s="58" t="s">
        <v>332</v>
      </c>
      <c r="E398" s="58" t="s">
        <v>1142</v>
      </c>
      <c r="F398" s="58" t="s">
        <v>337</v>
      </c>
      <c r="G398" s="58">
        <v>0</v>
      </c>
      <c r="H398" s="59">
        <v>19146386.59</v>
      </c>
      <c r="I398" s="60">
        <v>0</v>
      </c>
      <c r="J398" s="59">
        <v>19146386.59</v>
      </c>
      <c r="K398" s="61" t="s">
        <v>330</v>
      </c>
      <c r="L398" s="62" t="s">
        <v>330</v>
      </c>
    </row>
    <row r="399" spans="1:12" x14ac:dyDescent="0.25">
      <c r="A399" s="57" t="s">
        <v>1141</v>
      </c>
      <c r="B399" s="58" t="s">
        <v>288</v>
      </c>
      <c r="C399" s="58"/>
      <c r="D399" s="58" t="s">
        <v>339</v>
      </c>
      <c r="E399" s="58" t="s">
        <v>1140</v>
      </c>
      <c r="F399" s="58" t="s">
        <v>337</v>
      </c>
      <c r="G399" s="58">
        <v>0</v>
      </c>
      <c r="H399" s="59">
        <v>44569210.670000002</v>
      </c>
      <c r="I399" s="60">
        <v>0</v>
      </c>
      <c r="J399" s="59">
        <v>44569210.670000002</v>
      </c>
      <c r="K399" s="61" t="s">
        <v>330</v>
      </c>
      <c r="L399" s="62" t="s">
        <v>330</v>
      </c>
    </row>
    <row r="400" spans="1:12" x14ac:dyDescent="0.25">
      <c r="A400" s="57" t="s">
        <v>1139</v>
      </c>
      <c r="B400" s="58" t="s">
        <v>288</v>
      </c>
      <c r="C400" s="58"/>
      <c r="D400" s="58" t="s">
        <v>332</v>
      </c>
      <c r="E400" s="58" t="s">
        <v>1138</v>
      </c>
      <c r="F400" s="58" t="s">
        <v>337</v>
      </c>
      <c r="G400" s="58">
        <v>0</v>
      </c>
      <c r="H400" s="59">
        <v>50218348.93</v>
      </c>
      <c r="I400" s="60">
        <v>0</v>
      </c>
      <c r="J400" s="59">
        <v>50218348.93</v>
      </c>
      <c r="K400" s="61" t="s">
        <v>330</v>
      </c>
      <c r="L400" s="62" t="s">
        <v>330</v>
      </c>
    </row>
    <row r="401" spans="1:12" x14ac:dyDescent="0.25">
      <c r="A401" s="57" t="s">
        <v>1137</v>
      </c>
      <c r="B401" s="58" t="s">
        <v>288</v>
      </c>
      <c r="C401" s="58"/>
      <c r="D401" s="58" t="s">
        <v>339</v>
      </c>
      <c r="E401" s="58" t="s">
        <v>1136</v>
      </c>
      <c r="F401" s="58" t="s">
        <v>337</v>
      </c>
      <c r="G401" s="58">
        <v>0</v>
      </c>
      <c r="H401" s="59">
        <v>65518352.890000001</v>
      </c>
      <c r="I401" s="60">
        <v>0</v>
      </c>
      <c r="J401" s="59">
        <v>65518352.890000001</v>
      </c>
      <c r="K401" s="61" t="s">
        <v>330</v>
      </c>
      <c r="L401" s="62" t="s">
        <v>330</v>
      </c>
    </row>
    <row r="402" spans="1:12" x14ac:dyDescent="0.25">
      <c r="A402" s="57" t="s">
        <v>1135</v>
      </c>
      <c r="B402" s="58" t="s">
        <v>288</v>
      </c>
      <c r="C402" s="58"/>
      <c r="D402" s="58" t="s">
        <v>332</v>
      </c>
      <c r="E402" s="58" t="s">
        <v>1134</v>
      </c>
      <c r="F402" s="58" t="s">
        <v>337</v>
      </c>
      <c r="G402" s="58">
        <v>0</v>
      </c>
      <c r="H402" s="59">
        <v>80254913.989999995</v>
      </c>
      <c r="I402" s="60">
        <v>0</v>
      </c>
      <c r="J402" s="59">
        <v>80254913.989999995</v>
      </c>
      <c r="K402" s="61" t="s">
        <v>330</v>
      </c>
      <c r="L402" s="62" t="s">
        <v>330</v>
      </c>
    </row>
    <row r="403" spans="1:12" x14ac:dyDescent="0.25">
      <c r="A403" s="57" t="s">
        <v>1133</v>
      </c>
      <c r="B403" s="58" t="s">
        <v>288</v>
      </c>
      <c r="C403" s="58"/>
      <c r="D403" s="58" t="s">
        <v>332</v>
      </c>
      <c r="E403" s="58" t="s">
        <v>1132</v>
      </c>
      <c r="F403" s="58" t="s">
        <v>337</v>
      </c>
      <c r="G403" s="58">
        <v>0</v>
      </c>
      <c r="H403" s="59">
        <v>80254913.989999995</v>
      </c>
      <c r="I403" s="60">
        <v>0</v>
      </c>
      <c r="J403" s="59">
        <v>80254913.989999995</v>
      </c>
      <c r="K403" s="61" t="s">
        <v>330</v>
      </c>
      <c r="L403" s="62" t="s">
        <v>330</v>
      </c>
    </row>
    <row r="404" spans="1:12" x14ac:dyDescent="0.25">
      <c r="A404" s="57" t="s">
        <v>1131</v>
      </c>
      <c r="B404" s="58" t="s">
        <v>288</v>
      </c>
      <c r="C404" s="58"/>
      <c r="D404" s="58" t="s">
        <v>332</v>
      </c>
      <c r="E404" s="58" t="s">
        <v>1130</v>
      </c>
      <c r="F404" s="58" t="s">
        <v>337</v>
      </c>
      <c r="G404" s="58">
        <v>0</v>
      </c>
      <c r="H404" s="59">
        <v>233683252.19</v>
      </c>
      <c r="I404" s="60">
        <v>0</v>
      </c>
      <c r="J404" s="59">
        <v>233683252.19</v>
      </c>
      <c r="K404" s="61" t="s">
        <v>330</v>
      </c>
      <c r="L404" s="62" t="s">
        <v>330</v>
      </c>
    </row>
    <row r="405" spans="1:12" x14ac:dyDescent="0.25">
      <c r="A405" s="57" t="s">
        <v>1129</v>
      </c>
      <c r="B405" s="58" t="s">
        <v>1104</v>
      </c>
      <c r="C405" s="58"/>
      <c r="D405" s="58" t="s">
        <v>332</v>
      </c>
      <c r="E405" s="58" t="s">
        <v>1128</v>
      </c>
      <c r="F405" s="58" t="s">
        <v>337</v>
      </c>
      <c r="G405" s="58">
        <v>0</v>
      </c>
      <c r="H405" s="59">
        <v>0</v>
      </c>
      <c r="I405" s="60">
        <v>0</v>
      </c>
      <c r="J405" s="59">
        <v>0</v>
      </c>
      <c r="K405" s="61" t="s">
        <v>330</v>
      </c>
      <c r="L405" s="62" t="s">
        <v>330</v>
      </c>
    </row>
    <row r="406" spans="1:12" x14ac:dyDescent="0.25">
      <c r="A406" s="57" t="s">
        <v>1127</v>
      </c>
      <c r="B406" s="58" t="s">
        <v>1104</v>
      </c>
      <c r="C406" s="58"/>
      <c r="D406" s="58" t="s">
        <v>332</v>
      </c>
      <c r="E406" s="58" t="s">
        <v>1126</v>
      </c>
      <c r="F406" s="58" t="s">
        <v>337</v>
      </c>
      <c r="G406" s="58">
        <v>0</v>
      </c>
      <c r="H406" s="59">
        <v>0</v>
      </c>
      <c r="I406" s="60">
        <v>0</v>
      </c>
      <c r="J406" s="59">
        <v>0</v>
      </c>
      <c r="K406" s="61" t="s">
        <v>330</v>
      </c>
      <c r="L406" s="62" t="s">
        <v>330</v>
      </c>
    </row>
    <row r="407" spans="1:12" x14ac:dyDescent="0.25">
      <c r="A407" s="57" t="s">
        <v>1125</v>
      </c>
      <c r="B407" s="58" t="s">
        <v>1104</v>
      </c>
      <c r="C407" s="58"/>
      <c r="D407" s="58" t="s">
        <v>332</v>
      </c>
      <c r="E407" s="58" t="s">
        <v>1124</v>
      </c>
      <c r="F407" s="58" t="s">
        <v>337</v>
      </c>
      <c r="G407" s="58">
        <v>0</v>
      </c>
      <c r="H407" s="59">
        <v>0</v>
      </c>
      <c r="I407" s="60">
        <v>0</v>
      </c>
      <c r="J407" s="59">
        <v>0</v>
      </c>
      <c r="K407" s="61" t="s">
        <v>330</v>
      </c>
      <c r="L407" s="62" t="s">
        <v>330</v>
      </c>
    </row>
    <row r="408" spans="1:12" x14ac:dyDescent="0.25">
      <c r="A408" s="57" t="s">
        <v>1123</v>
      </c>
      <c r="B408" s="58" t="s">
        <v>1104</v>
      </c>
      <c r="C408" s="58"/>
      <c r="D408" s="58" t="s">
        <v>332</v>
      </c>
      <c r="E408" s="58" t="s">
        <v>1122</v>
      </c>
      <c r="F408" s="58" t="s">
        <v>337</v>
      </c>
      <c r="G408" s="58">
        <v>0</v>
      </c>
      <c r="H408" s="59">
        <v>0</v>
      </c>
      <c r="I408" s="60">
        <v>0</v>
      </c>
      <c r="J408" s="59">
        <v>0</v>
      </c>
      <c r="K408" s="61" t="s">
        <v>330</v>
      </c>
      <c r="L408" s="62" t="s">
        <v>330</v>
      </c>
    </row>
    <row r="409" spans="1:12" x14ac:dyDescent="0.25">
      <c r="A409" s="57" t="s">
        <v>1121</v>
      </c>
      <c r="B409" s="58" t="s">
        <v>1104</v>
      </c>
      <c r="C409" s="58"/>
      <c r="D409" s="58" t="s">
        <v>332</v>
      </c>
      <c r="E409" s="58" t="s">
        <v>1120</v>
      </c>
      <c r="F409" s="58" t="s">
        <v>337</v>
      </c>
      <c r="G409" s="58">
        <v>0</v>
      </c>
      <c r="H409" s="59">
        <v>0</v>
      </c>
      <c r="I409" s="60">
        <v>0</v>
      </c>
      <c r="J409" s="59">
        <v>0</v>
      </c>
      <c r="K409" s="61" t="s">
        <v>330</v>
      </c>
      <c r="L409" s="62" t="s">
        <v>330</v>
      </c>
    </row>
    <row r="410" spans="1:12" x14ac:dyDescent="0.25">
      <c r="A410" s="57" t="s">
        <v>1119</v>
      </c>
      <c r="B410" s="58" t="s">
        <v>1104</v>
      </c>
      <c r="C410" s="58"/>
      <c r="D410" s="58" t="s">
        <v>332</v>
      </c>
      <c r="E410" s="58" t="s">
        <v>1118</v>
      </c>
      <c r="F410" s="58" t="s">
        <v>337</v>
      </c>
      <c r="G410" s="58">
        <v>0</v>
      </c>
      <c r="H410" s="59">
        <v>0</v>
      </c>
      <c r="I410" s="60">
        <v>0</v>
      </c>
      <c r="J410" s="59">
        <v>0</v>
      </c>
      <c r="K410" s="61" t="s">
        <v>330</v>
      </c>
      <c r="L410" s="62" t="s">
        <v>330</v>
      </c>
    </row>
    <row r="411" spans="1:12" x14ac:dyDescent="0.25">
      <c r="A411" s="57" t="s">
        <v>1117</v>
      </c>
      <c r="B411" s="58" t="s">
        <v>1104</v>
      </c>
      <c r="C411" s="58"/>
      <c r="D411" s="58" t="s">
        <v>332</v>
      </c>
      <c r="E411" s="58" t="s">
        <v>1116</v>
      </c>
      <c r="F411" s="58" t="s">
        <v>337</v>
      </c>
      <c r="G411" s="58">
        <v>0</v>
      </c>
      <c r="H411" s="59">
        <v>815500.33</v>
      </c>
      <c r="I411" s="60">
        <v>0</v>
      </c>
      <c r="J411" s="59">
        <v>815500.33</v>
      </c>
      <c r="K411" s="61" t="s">
        <v>330</v>
      </c>
      <c r="L411" s="62" t="s">
        <v>330</v>
      </c>
    </row>
    <row r="412" spans="1:12" x14ac:dyDescent="0.25">
      <c r="A412" s="57" t="s">
        <v>1115</v>
      </c>
      <c r="B412" s="58" t="s">
        <v>1104</v>
      </c>
      <c r="C412" s="58"/>
      <c r="D412" s="58" t="s">
        <v>332</v>
      </c>
      <c r="E412" s="58" t="s">
        <v>1114</v>
      </c>
      <c r="F412" s="58" t="s">
        <v>337</v>
      </c>
      <c r="G412" s="58">
        <v>0</v>
      </c>
      <c r="H412" s="59">
        <v>835953.19</v>
      </c>
      <c r="I412" s="60">
        <v>0</v>
      </c>
      <c r="J412" s="59">
        <v>835953.19</v>
      </c>
      <c r="K412" s="61" t="s">
        <v>330</v>
      </c>
      <c r="L412" s="62" t="s">
        <v>330</v>
      </c>
    </row>
    <row r="413" spans="1:12" x14ac:dyDescent="0.25">
      <c r="A413" s="57" t="s">
        <v>1113</v>
      </c>
      <c r="B413" s="58" t="s">
        <v>1104</v>
      </c>
      <c r="C413" s="58"/>
      <c r="D413" s="58" t="s">
        <v>396</v>
      </c>
      <c r="E413" s="58" t="s">
        <v>1112</v>
      </c>
      <c r="F413" s="58" t="s">
        <v>337</v>
      </c>
      <c r="G413" s="58">
        <v>0</v>
      </c>
      <c r="H413" s="59">
        <v>2347652.29</v>
      </c>
      <c r="I413" s="60">
        <v>0</v>
      </c>
      <c r="J413" s="59">
        <v>2347652.29</v>
      </c>
      <c r="K413" s="61" t="s">
        <v>330</v>
      </c>
      <c r="L413" s="62" t="s">
        <v>330</v>
      </c>
    </row>
    <row r="414" spans="1:12" x14ac:dyDescent="0.25">
      <c r="A414" s="57" t="s">
        <v>1111</v>
      </c>
      <c r="B414" s="58" t="s">
        <v>1104</v>
      </c>
      <c r="C414" s="58"/>
      <c r="D414" s="58" t="s">
        <v>332</v>
      </c>
      <c r="E414" s="58" t="s">
        <v>1110</v>
      </c>
      <c r="F414" s="58" t="s">
        <v>337</v>
      </c>
      <c r="G414" s="58">
        <v>0</v>
      </c>
      <c r="H414" s="59">
        <v>2380566.08</v>
      </c>
      <c r="I414" s="60">
        <v>0</v>
      </c>
      <c r="J414" s="59">
        <v>2380566.08</v>
      </c>
      <c r="K414" s="61" t="s">
        <v>330</v>
      </c>
      <c r="L414" s="62" t="s">
        <v>330</v>
      </c>
    </row>
    <row r="415" spans="1:12" x14ac:dyDescent="0.25">
      <c r="A415" s="57" t="s">
        <v>1109</v>
      </c>
      <c r="B415" s="58" t="s">
        <v>1104</v>
      </c>
      <c r="C415" s="58"/>
      <c r="D415" s="58" t="s">
        <v>396</v>
      </c>
      <c r="E415" s="58" t="s">
        <v>1108</v>
      </c>
      <c r="F415" s="58" t="s">
        <v>337</v>
      </c>
      <c r="G415" s="58">
        <v>0</v>
      </c>
      <c r="H415" s="59">
        <v>4683861.72</v>
      </c>
      <c r="I415" s="60">
        <v>0</v>
      </c>
      <c r="J415" s="59">
        <v>4683861.72</v>
      </c>
      <c r="K415" s="61" t="s">
        <v>330</v>
      </c>
      <c r="L415" s="62" t="s">
        <v>330</v>
      </c>
    </row>
    <row r="416" spans="1:12" x14ac:dyDescent="0.25">
      <c r="A416" s="57" t="s">
        <v>1107</v>
      </c>
      <c r="B416" s="58" t="s">
        <v>1104</v>
      </c>
      <c r="C416" s="58"/>
      <c r="D416" s="58" t="s">
        <v>396</v>
      </c>
      <c r="E416" s="58" t="s">
        <v>1106</v>
      </c>
      <c r="F416" s="58" t="s">
        <v>337</v>
      </c>
      <c r="G416" s="58">
        <v>0</v>
      </c>
      <c r="H416" s="59">
        <v>4683861.72</v>
      </c>
      <c r="I416" s="60">
        <v>0</v>
      </c>
      <c r="J416" s="59">
        <v>4683861.72</v>
      </c>
      <c r="K416" s="61" t="s">
        <v>330</v>
      </c>
      <c r="L416" s="62" t="s">
        <v>330</v>
      </c>
    </row>
    <row r="417" spans="1:12" x14ac:dyDescent="0.25">
      <c r="A417" s="57" t="s">
        <v>1105</v>
      </c>
      <c r="B417" s="58" t="s">
        <v>1104</v>
      </c>
      <c r="C417" s="58"/>
      <c r="D417" s="58" t="s">
        <v>332</v>
      </c>
      <c r="E417" s="58" t="s">
        <v>1103</v>
      </c>
      <c r="F417" s="58" t="s">
        <v>337</v>
      </c>
      <c r="G417" s="58">
        <v>0</v>
      </c>
      <c r="H417" s="59">
        <v>8151561.0899999999</v>
      </c>
      <c r="I417" s="60">
        <v>0</v>
      </c>
      <c r="J417" s="59">
        <v>8151561.0899999999</v>
      </c>
      <c r="K417" s="61" t="s">
        <v>330</v>
      </c>
      <c r="L417" s="62" t="s">
        <v>330</v>
      </c>
    </row>
    <row r="418" spans="1:12" x14ac:dyDescent="0.25">
      <c r="A418" s="57" t="s">
        <v>1102</v>
      </c>
      <c r="B418" s="58" t="s">
        <v>65</v>
      </c>
      <c r="C418" s="58"/>
      <c r="D418" s="58" t="s">
        <v>332</v>
      </c>
      <c r="E418" s="58" t="s">
        <v>1101</v>
      </c>
      <c r="F418" s="58" t="s">
        <v>337</v>
      </c>
      <c r="G418" s="58">
        <v>0</v>
      </c>
      <c r="H418" s="59">
        <v>0</v>
      </c>
      <c r="I418" s="60">
        <v>0</v>
      </c>
      <c r="J418" s="59">
        <v>0</v>
      </c>
      <c r="K418" s="61" t="s">
        <v>330</v>
      </c>
      <c r="L418" s="62" t="s">
        <v>330</v>
      </c>
    </row>
    <row r="419" spans="1:12" x14ac:dyDescent="0.25">
      <c r="A419" s="57" t="s">
        <v>1100</v>
      </c>
      <c r="B419" s="58" t="s">
        <v>65</v>
      </c>
      <c r="C419" s="58"/>
      <c r="D419" s="58" t="s">
        <v>339</v>
      </c>
      <c r="E419" s="58" t="s">
        <v>1099</v>
      </c>
      <c r="F419" s="58" t="s">
        <v>337</v>
      </c>
      <c r="G419" s="58">
        <v>0</v>
      </c>
      <c r="H419" s="59">
        <v>96496.18</v>
      </c>
      <c r="I419" s="60">
        <v>0</v>
      </c>
      <c r="J419" s="59">
        <v>96496.18</v>
      </c>
      <c r="K419" s="61" t="s">
        <v>330</v>
      </c>
      <c r="L419" s="62" t="s">
        <v>330</v>
      </c>
    </row>
    <row r="420" spans="1:12" x14ac:dyDescent="0.25">
      <c r="A420" s="57" t="s">
        <v>67</v>
      </c>
      <c r="B420" s="58" t="s">
        <v>65</v>
      </c>
      <c r="C420" s="58" t="s">
        <v>1098</v>
      </c>
      <c r="D420" s="58" t="s">
        <v>7</v>
      </c>
      <c r="E420" s="58" t="s">
        <v>1097</v>
      </c>
      <c r="F420" s="58" t="s">
        <v>760</v>
      </c>
      <c r="G420" s="58">
        <v>0.89800000000000002</v>
      </c>
      <c r="H420" s="59">
        <v>1212482.21</v>
      </c>
      <c r="I420" s="60">
        <v>1088826.01</v>
      </c>
      <c r="J420" s="59">
        <v>123656.19999999995</v>
      </c>
      <c r="K420" s="63">
        <v>44326</v>
      </c>
      <c r="L420" s="64">
        <v>44536</v>
      </c>
    </row>
    <row r="421" spans="1:12" x14ac:dyDescent="0.25">
      <c r="A421" s="57" t="s">
        <v>1096</v>
      </c>
      <c r="B421" s="58" t="s">
        <v>65</v>
      </c>
      <c r="C421" s="58"/>
      <c r="D421" s="58" t="s">
        <v>396</v>
      </c>
      <c r="E421" s="58" t="s">
        <v>1095</v>
      </c>
      <c r="F421" s="58" t="s">
        <v>337</v>
      </c>
      <c r="G421" s="58">
        <v>0</v>
      </c>
      <c r="H421" s="59">
        <v>146091.87</v>
      </c>
      <c r="I421" s="60">
        <v>0</v>
      </c>
      <c r="J421" s="59">
        <v>146091.87</v>
      </c>
      <c r="K421" s="61" t="s">
        <v>330</v>
      </c>
      <c r="L421" s="62" t="s">
        <v>330</v>
      </c>
    </row>
    <row r="422" spans="1:12" x14ac:dyDescent="0.25">
      <c r="A422" s="57" t="s">
        <v>1094</v>
      </c>
      <c r="B422" s="58" t="s">
        <v>65</v>
      </c>
      <c r="C422" s="58"/>
      <c r="D422" s="58" t="s">
        <v>396</v>
      </c>
      <c r="E422" s="58" t="s">
        <v>1093</v>
      </c>
      <c r="F422" s="58" t="s">
        <v>337</v>
      </c>
      <c r="G422" s="58">
        <v>0</v>
      </c>
      <c r="H422" s="59">
        <v>168241.62</v>
      </c>
      <c r="I422" s="60">
        <v>0</v>
      </c>
      <c r="J422" s="59">
        <v>168241.62</v>
      </c>
      <c r="K422" s="61" t="s">
        <v>330</v>
      </c>
      <c r="L422" s="62" t="s">
        <v>330</v>
      </c>
    </row>
    <row r="423" spans="1:12" x14ac:dyDescent="0.25">
      <c r="A423" s="57" t="s">
        <v>1092</v>
      </c>
      <c r="B423" s="58" t="s">
        <v>65</v>
      </c>
      <c r="C423" s="58"/>
      <c r="D423" s="58" t="s">
        <v>339</v>
      </c>
      <c r="E423" s="58" t="s">
        <v>1091</v>
      </c>
      <c r="F423" s="58" t="s">
        <v>337</v>
      </c>
      <c r="G423" s="58">
        <v>0</v>
      </c>
      <c r="H423" s="59">
        <v>194510.83</v>
      </c>
      <c r="I423" s="60">
        <v>0</v>
      </c>
      <c r="J423" s="59">
        <v>194510.83</v>
      </c>
      <c r="K423" s="61" t="s">
        <v>330</v>
      </c>
      <c r="L423" s="62" t="s">
        <v>330</v>
      </c>
    </row>
    <row r="424" spans="1:12" x14ac:dyDescent="0.25">
      <c r="A424" s="57" t="s">
        <v>1090</v>
      </c>
      <c r="B424" s="58" t="s">
        <v>65</v>
      </c>
      <c r="C424" s="58"/>
      <c r="D424" s="58" t="s">
        <v>396</v>
      </c>
      <c r="E424" s="58" t="s">
        <v>1089</v>
      </c>
      <c r="F424" s="58" t="s">
        <v>337</v>
      </c>
      <c r="G424" s="58">
        <v>0</v>
      </c>
      <c r="H424" s="59">
        <v>227010.99</v>
      </c>
      <c r="I424" s="60">
        <v>0</v>
      </c>
      <c r="J424" s="59">
        <v>227010.99</v>
      </c>
      <c r="K424" s="61" t="s">
        <v>330</v>
      </c>
      <c r="L424" s="62" t="s">
        <v>330</v>
      </c>
    </row>
    <row r="425" spans="1:12" x14ac:dyDescent="0.25">
      <c r="A425" s="57" t="s">
        <v>1088</v>
      </c>
      <c r="B425" s="58" t="s">
        <v>65</v>
      </c>
      <c r="C425" s="58"/>
      <c r="D425" s="58" t="s">
        <v>339</v>
      </c>
      <c r="E425" s="58" t="s">
        <v>1087</v>
      </c>
      <c r="F425" s="58" t="s">
        <v>337</v>
      </c>
      <c r="G425" s="58">
        <v>0</v>
      </c>
      <c r="H425" s="59">
        <v>248952.83</v>
      </c>
      <c r="I425" s="60">
        <v>0</v>
      </c>
      <c r="J425" s="59">
        <v>248952.83</v>
      </c>
      <c r="K425" s="61" t="s">
        <v>330</v>
      </c>
      <c r="L425" s="62" t="s">
        <v>330</v>
      </c>
    </row>
    <row r="426" spans="1:12" x14ac:dyDescent="0.25">
      <c r="A426" s="57" t="s">
        <v>1086</v>
      </c>
      <c r="B426" s="58" t="s">
        <v>65</v>
      </c>
      <c r="C426" s="58"/>
      <c r="D426" s="58" t="s">
        <v>332</v>
      </c>
      <c r="E426" s="58" t="s">
        <v>1085</v>
      </c>
      <c r="F426" s="58" t="s">
        <v>337</v>
      </c>
      <c r="G426" s="58">
        <v>0</v>
      </c>
      <c r="H426" s="59">
        <v>310213.34999999998</v>
      </c>
      <c r="I426" s="60">
        <v>0</v>
      </c>
      <c r="J426" s="59">
        <v>310213.34999999998</v>
      </c>
      <c r="K426" s="61" t="s">
        <v>330</v>
      </c>
      <c r="L426" s="62" t="s">
        <v>330</v>
      </c>
    </row>
    <row r="427" spans="1:12" x14ac:dyDescent="0.25">
      <c r="A427" s="57" t="s">
        <v>1084</v>
      </c>
      <c r="B427" s="58" t="s">
        <v>65</v>
      </c>
      <c r="C427" s="58"/>
      <c r="D427" s="58" t="s">
        <v>332</v>
      </c>
      <c r="E427" s="58" t="s">
        <v>1083</v>
      </c>
      <c r="F427" s="58" t="s">
        <v>337</v>
      </c>
      <c r="G427" s="58">
        <v>0</v>
      </c>
      <c r="H427" s="59">
        <v>375933.51</v>
      </c>
      <c r="I427" s="60">
        <v>0</v>
      </c>
      <c r="J427" s="59">
        <v>375933.51</v>
      </c>
      <c r="K427" s="61" t="s">
        <v>330</v>
      </c>
      <c r="L427" s="62" t="s">
        <v>330</v>
      </c>
    </row>
    <row r="428" spans="1:12" x14ac:dyDescent="0.25">
      <c r="A428" s="57" t="s">
        <v>1082</v>
      </c>
      <c r="B428" s="58" t="s">
        <v>65</v>
      </c>
      <c r="C428" s="58"/>
      <c r="D428" s="58" t="s">
        <v>332</v>
      </c>
      <c r="E428" s="58" t="s">
        <v>1081</v>
      </c>
      <c r="F428" s="58" t="s">
        <v>337</v>
      </c>
      <c r="G428" s="58">
        <v>0</v>
      </c>
      <c r="H428" s="59">
        <v>400696.78</v>
      </c>
      <c r="I428" s="60">
        <v>0</v>
      </c>
      <c r="J428" s="59">
        <v>400696.78</v>
      </c>
      <c r="K428" s="61" t="s">
        <v>330</v>
      </c>
      <c r="L428" s="62" t="s">
        <v>330</v>
      </c>
    </row>
    <row r="429" spans="1:12" x14ac:dyDescent="0.25">
      <c r="A429" s="57" t="s">
        <v>1080</v>
      </c>
      <c r="B429" s="58" t="s">
        <v>65</v>
      </c>
      <c r="C429" s="58"/>
      <c r="D429" s="58" t="s">
        <v>339</v>
      </c>
      <c r="E429" s="58" t="s">
        <v>1079</v>
      </c>
      <c r="F429" s="58" t="s">
        <v>337</v>
      </c>
      <c r="G429" s="58">
        <v>0</v>
      </c>
      <c r="H429" s="59">
        <v>473666.22</v>
      </c>
      <c r="I429" s="60">
        <v>0</v>
      </c>
      <c r="J429" s="59">
        <v>473666.22</v>
      </c>
      <c r="K429" s="61" t="s">
        <v>330</v>
      </c>
      <c r="L429" s="62" t="s">
        <v>330</v>
      </c>
    </row>
    <row r="430" spans="1:12" x14ac:dyDescent="0.25">
      <c r="A430" s="57" t="s">
        <v>64</v>
      </c>
      <c r="B430" s="58" t="s">
        <v>65</v>
      </c>
      <c r="C430" s="58" t="s">
        <v>1078</v>
      </c>
      <c r="D430" s="58" t="s">
        <v>355</v>
      </c>
      <c r="E430" s="58" t="s">
        <v>1077</v>
      </c>
      <c r="F430" s="58" t="s">
        <v>387</v>
      </c>
      <c r="G430" s="58">
        <v>0.92090000000000005</v>
      </c>
      <c r="H430" s="59">
        <v>12560309.119999999</v>
      </c>
      <c r="I430" s="60">
        <v>11566432.390000001</v>
      </c>
      <c r="J430" s="59">
        <v>993876.72999999858</v>
      </c>
      <c r="K430" s="63">
        <v>44831</v>
      </c>
      <c r="L430" s="64">
        <v>45477</v>
      </c>
    </row>
    <row r="431" spans="1:12" x14ac:dyDescent="0.25">
      <c r="A431" s="57" t="s">
        <v>1076</v>
      </c>
      <c r="B431" s="58" t="s">
        <v>1075</v>
      </c>
      <c r="C431" s="58"/>
      <c r="D431" s="58" t="s">
        <v>332</v>
      </c>
      <c r="E431" s="58" t="s">
        <v>1074</v>
      </c>
      <c r="F431" s="58" t="s">
        <v>337</v>
      </c>
      <c r="G431" s="58">
        <v>0</v>
      </c>
      <c r="H431" s="59">
        <v>28251529.600000001</v>
      </c>
      <c r="I431" s="60">
        <v>0</v>
      </c>
      <c r="J431" s="59">
        <v>28251529.600000001</v>
      </c>
      <c r="K431" s="61" t="s">
        <v>330</v>
      </c>
      <c r="L431" s="62" t="s">
        <v>330</v>
      </c>
    </row>
    <row r="432" spans="1:12" x14ac:dyDescent="0.25">
      <c r="A432" s="57" t="s">
        <v>1073</v>
      </c>
      <c r="B432" s="58" t="s">
        <v>1061</v>
      </c>
      <c r="C432" s="58"/>
      <c r="D432" s="58" t="s">
        <v>332</v>
      </c>
      <c r="E432" s="58" t="s">
        <v>1072</v>
      </c>
      <c r="F432" s="58" t="s">
        <v>337</v>
      </c>
      <c r="G432" s="58">
        <v>0</v>
      </c>
      <c r="H432" s="59">
        <v>0</v>
      </c>
      <c r="I432" s="60">
        <v>0</v>
      </c>
      <c r="J432" s="59">
        <v>0</v>
      </c>
      <c r="K432" s="61" t="s">
        <v>330</v>
      </c>
      <c r="L432" s="62" t="s">
        <v>330</v>
      </c>
    </row>
    <row r="433" spans="1:12" x14ac:dyDescent="0.25">
      <c r="A433" s="57" t="s">
        <v>249</v>
      </c>
      <c r="B433" s="58" t="s">
        <v>1061</v>
      </c>
      <c r="C433" s="58" t="s">
        <v>1071</v>
      </c>
      <c r="D433" s="58" t="s">
        <v>355</v>
      </c>
      <c r="E433" s="58" t="s">
        <v>1070</v>
      </c>
      <c r="F433" s="58" t="s">
        <v>1069</v>
      </c>
      <c r="G433" s="58">
        <v>0.99900000000000011</v>
      </c>
      <c r="H433" s="59">
        <v>17695067.23</v>
      </c>
      <c r="I433" s="60">
        <v>17677149.84</v>
      </c>
      <c r="J433" s="59">
        <v>17917.390000000596</v>
      </c>
      <c r="K433" s="63">
        <v>44994</v>
      </c>
      <c r="L433" s="64">
        <v>45928</v>
      </c>
    </row>
    <row r="434" spans="1:12" x14ac:dyDescent="0.25">
      <c r="A434" s="57" t="s">
        <v>1068</v>
      </c>
      <c r="B434" s="58" t="s">
        <v>1061</v>
      </c>
      <c r="C434" s="58"/>
      <c r="D434" s="58" t="s">
        <v>339</v>
      </c>
      <c r="E434" s="58" t="s">
        <v>1067</v>
      </c>
      <c r="F434" s="58" t="s">
        <v>337</v>
      </c>
      <c r="G434" s="58">
        <v>0</v>
      </c>
      <c r="H434" s="59">
        <v>3059767.51</v>
      </c>
      <c r="I434" s="60">
        <v>0</v>
      </c>
      <c r="J434" s="59">
        <v>3059767.51</v>
      </c>
      <c r="K434" s="61" t="s">
        <v>330</v>
      </c>
      <c r="L434" s="62" t="s">
        <v>330</v>
      </c>
    </row>
    <row r="435" spans="1:12" x14ac:dyDescent="0.25">
      <c r="A435" s="57" t="s">
        <v>1066</v>
      </c>
      <c r="B435" s="58" t="s">
        <v>1061</v>
      </c>
      <c r="C435" s="58"/>
      <c r="D435" s="58" t="s">
        <v>367</v>
      </c>
      <c r="E435" s="58" t="s">
        <v>1065</v>
      </c>
      <c r="F435" s="58" t="s">
        <v>337</v>
      </c>
      <c r="G435" s="58">
        <v>0</v>
      </c>
      <c r="H435" s="59">
        <v>4257009.2699999996</v>
      </c>
      <c r="I435" s="60">
        <v>0</v>
      </c>
      <c r="J435" s="59">
        <v>4257009.2699999996</v>
      </c>
      <c r="K435" s="61" t="s">
        <v>330</v>
      </c>
      <c r="L435" s="62" t="s">
        <v>330</v>
      </c>
    </row>
    <row r="436" spans="1:12" x14ac:dyDescent="0.25">
      <c r="A436" s="57" t="s">
        <v>1064</v>
      </c>
      <c r="B436" s="58" t="s">
        <v>1061</v>
      </c>
      <c r="C436" s="58"/>
      <c r="D436" s="58" t="s">
        <v>332</v>
      </c>
      <c r="E436" s="58" t="s">
        <v>1063</v>
      </c>
      <c r="F436" s="58" t="s">
        <v>337</v>
      </c>
      <c r="G436" s="58">
        <v>0</v>
      </c>
      <c r="H436" s="59">
        <v>10945582.720000001</v>
      </c>
      <c r="I436" s="60">
        <v>0</v>
      </c>
      <c r="J436" s="59">
        <v>10945582.720000001</v>
      </c>
      <c r="K436" s="61" t="s">
        <v>330</v>
      </c>
      <c r="L436" s="62" t="s">
        <v>330</v>
      </c>
    </row>
    <row r="437" spans="1:12" x14ac:dyDescent="0.25">
      <c r="A437" s="57" t="s">
        <v>1062</v>
      </c>
      <c r="B437" s="58" t="s">
        <v>1061</v>
      </c>
      <c r="C437" s="58"/>
      <c r="D437" s="58" t="s">
        <v>332</v>
      </c>
      <c r="E437" s="58" t="s">
        <v>1060</v>
      </c>
      <c r="F437" s="58" t="s">
        <v>337</v>
      </c>
      <c r="G437" s="58">
        <v>0</v>
      </c>
      <c r="H437" s="59">
        <v>13155159.65</v>
      </c>
      <c r="I437" s="60">
        <v>0</v>
      </c>
      <c r="J437" s="59">
        <v>13155159.65</v>
      </c>
      <c r="K437" s="61" t="s">
        <v>330</v>
      </c>
      <c r="L437" s="62" t="s">
        <v>330</v>
      </c>
    </row>
    <row r="438" spans="1:12" x14ac:dyDescent="0.25">
      <c r="A438" s="57" t="s">
        <v>1059</v>
      </c>
      <c r="B438" s="58" t="s">
        <v>308</v>
      </c>
      <c r="C438" s="58" t="s">
        <v>1058</v>
      </c>
      <c r="D438" s="58" t="s">
        <v>355</v>
      </c>
      <c r="E438" s="58" t="s">
        <v>1057</v>
      </c>
      <c r="F438" s="58" t="s">
        <v>1056</v>
      </c>
      <c r="G438" s="58">
        <v>1</v>
      </c>
      <c r="H438" s="59">
        <v>12092480.689999999</v>
      </c>
      <c r="I438" s="60">
        <v>12092480.689999999</v>
      </c>
      <c r="J438" s="59">
        <v>0</v>
      </c>
      <c r="K438" s="63">
        <v>44734</v>
      </c>
      <c r="L438" s="64">
        <v>45202</v>
      </c>
    </row>
    <row r="439" spans="1:12" x14ac:dyDescent="0.25">
      <c r="A439" s="57" t="s">
        <v>1055</v>
      </c>
      <c r="B439" s="58" t="s">
        <v>308</v>
      </c>
      <c r="C439" s="58"/>
      <c r="D439" s="58" t="s">
        <v>332</v>
      </c>
      <c r="E439" s="58" t="s">
        <v>1054</v>
      </c>
      <c r="F439" s="58" t="s">
        <v>989</v>
      </c>
      <c r="G439" s="58">
        <v>0</v>
      </c>
      <c r="H439" s="59">
        <v>0</v>
      </c>
      <c r="I439" s="60">
        <v>0</v>
      </c>
      <c r="J439" s="59">
        <v>0</v>
      </c>
      <c r="K439" s="61" t="s">
        <v>330</v>
      </c>
      <c r="L439" s="62" t="s">
        <v>330</v>
      </c>
    </row>
    <row r="440" spans="1:12" x14ac:dyDescent="0.25">
      <c r="A440" s="57" t="s">
        <v>1053</v>
      </c>
      <c r="B440" s="58" t="s">
        <v>308</v>
      </c>
      <c r="C440" s="58"/>
      <c r="D440" s="58" t="s">
        <v>332</v>
      </c>
      <c r="E440" s="58" t="s">
        <v>1052</v>
      </c>
      <c r="F440" s="58" t="s">
        <v>337</v>
      </c>
      <c r="G440" s="58">
        <v>0</v>
      </c>
      <c r="H440" s="59">
        <v>0</v>
      </c>
      <c r="I440" s="60">
        <v>0</v>
      </c>
      <c r="J440" s="59">
        <v>0</v>
      </c>
      <c r="K440" s="61" t="s">
        <v>330</v>
      </c>
      <c r="L440" s="62" t="s">
        <v>330</v>
      </c>
    </row>
    <row r="441" spans="1:12" x14ac:dyDescent="0.25">
      <c r="A441" s="57" t="s">
        <v>1051</v>
      </c>
      <c r="B441" s="58" t="s">
        <v>308</v>
      </c>
      <c r="C441" s="58"/>
      <c r="D441" s="58" t="s">
        <v>332</v>
      </c>
      <c r="E441" s="58" t="s">
        <v>1050</v>
      </c>
      <c r="F441" s="58" t="s">
        <v>337</v>
      </c>
      <c r="G441" s="58">
        <v>0</v>
      </c>
      <c r="H441" s="59">
        <v>0</v>
      </c>
      <c r="I441" s="60">
        <v>0</v>
      </c>
      <c r="J441" s="59">
        <v>0</v>
      </c>
      <c r="K441" s="61" t="s">
        <v>330</v>
      </c>
      <c r="L441" s="62" t="s">
        <v>330</v>
      </c>
    </row>
    <row r="442" spans="1:12" x14ac:dyDescent="0.25">
      <c r="A442" s="57" t="s">
        <v>1049</v>
      </c>
      <c r="B442" s="58" t="s">
        <v>308</v>
      </c>
      <c r="C442" s="58"/>
      <c r="D442" s="58" t="s">
        <v>332</v>
      </c>
      <c r="E442" s="58" t="s">
        <v>1048</v>
      </c>
      <c r="F442" s="58" t="s">
        <v>337</v>
      </c>
      <c r="G442" s="58">
        <v>0</v>
      </c>
      <c r="H442" s="59">
        <v>0</v>
      </c>
      <c r="I442" s="60">
        <v>0</v>
      </c>
      <c r="J442" s="59">
        <v>0</v>
      </c>
      <c r="K442" s="61" t="s">
        <v>330</v>
      </c>
      <c r="L442" s="62" t="s">
        <v>330</v>
      </c>
    </row>
    <row r="443" spans="1:12" x14ac:dyDescent="0.25">
      <c r="A443" s="57" t="s">
        <v>1047</v>
      </c>
      <c r="B443" s="58" t="s">
        <v>308</v>
      </c>
      <c r="C443" s="58"/>
      <c r="D443" s="58" t="s">
        <v>332</v>
      </c>
      <c r="E443" s="58" t="s">
        <v>1046</v>
      </c>
      <c r="F443" s="58" t="s">
        <v>337</v>
      </c>
      <c r="G443" s="58">
        <v>0</v>
      </c>
      <c r="H443" s="59">
        <v>0</v>
      </c>
      <c r="I443" s="60">
        <v>0</v>
      </c>
      <c r="J443" s="59">
        <v>0</v>
      </c>
      <c r="K443" s="61" t="s">
        <v>330</v>
      </c>
      <c r="L443" s="62" t="s">
        <v>330</v>
      </c>
    </row>
    <row r="444" spans="1:12" x14ac:dyDescent="0.25">
      <c r="A444" s="57" t="s">
        <v>1045</v>
      </c>
      <c r="B444" s="58" t="s">
        <v>308</v>
      </c>
      <c r="C444" s="58"/>
      <c r="D444" s="58" t="s">
        <v>332</v>
      </c>
      <c r="E444" s="58" t="s">
        <v>1044</v>
      </c>
      <c r="F444" s="58" t="s">
        <v>337</v>
      </c>
      <c r="G444" s="58">
        <v>0</v>
      </c>
      <c r="H444" s="59">
        <v>0</v>
      </c>
      <c r="I444" s="60">
        <v>0</v>
      </c>
      <c r="J444" s="59">
        <v>0</v>
      </c>
      <c r="K444" s="61" t="s">
        <v>330</v>
      </c>
      <c r="L444" s="62" t="s">
        <v>330</v>
      </c>
    </row>
    <row r="445" spans="1:12" x14ac:dyDescent="0.25">
      <c r="A445" s="57" t="s">
        <v>1043</v>
      </c>
      <c r="B445" s="58" t="s">
        <v>308</v>
      </c>
      <c r="C445" s="58"/>
      <c r="D445" s="58" t="s">
        <v>332</v>
      </c>
      <c r="E445" s="58" t="s">
        <v>1042</v>
      </c>
      <c r="F445" s="58" t="s">
        <v>337</v>
      </c>
      <c r="G445" s="58">
        <v>0</v>
      </c>
      <c r="H445" s="59">
        <v>0</v>
      </c>
      <c r="I445" s="60">
        <v>0</v>
      </c>
      <c r="J445" s="59">
        <v>0</v>
      </c>
      <c r="K445" s="61" t="s">
        <v>330</v>
      </c>
      <c r="L445" s="62" t="s">
        <v>330</v>
      </c>
    </row>
    <row r="446" spans="1:12" x14ac:dyDescent="0.25">
      <c r="A446" s="57" t="s">
        <v>1041</v>
      </c>
      <c r="B446" s="58" t="s">
        <v>308</v>
      </c>
      <c r="C446" s="58"/>
      <c r="D446" s="58" t="s">
        <v>332</v>
      </c>
      <c r="E446" s="58" t="s">
        <v>1040</v>
      </c>
      <c r="F446" s="58" t="s">
        <v>337</v>
      </c>
      <c r="G446" s="58">
        <v>0</v>
      </c>
      <c r="H446" s="59">
        <v>0</v>
      </c>
      <c r="I446" s="60">
        <v>0</v>
      </c>
      <c r="J446" s="59">
        <v>0</v>
      </c>
      <c r="K446" s="61" t="s">
        <v>330</v>
      </c>
      <c r="L446" s="62" t="s">
        <v>330</v>
      </c>
    </row>
    <row r="447" spans="1:12" x14ac:dyDescent="0.25">
      <c r="A447" s="57" t="s">
        <v>1039</v>
      </c>
      <c r="B447" s="58" t="s">
        <v>308</v>
      </c>
      <c r="C447" s="58" t="s">
        <v>1038</v>
      </c>
      <c r="D447" s="58" t="s">
        <v>355</v>
      </c>
      <c r="E447" s="58" t="s">
        <v>1037</v>
      </c>
      <c r="F447" s="58" t="s">
        <v>1036</v>
      </c>
      <c r="G447" s="58">
        <v>0.91170000000000007</v>
      </c>
      <c r="H447" s="59">
        <v>5978542.1500000004</v>
      </c>
      <c r="I447" s="60">
        <v>5450477.04</v>
      </c>
      <c r="J447" s="59">
        <v>528065.11000000034</v>
      </c>
      <c r="K447" s="63">
        <v>44753</v>
      </c>
      <c r="L447" s="64">
        <v>44933</v>
      </c>
    </row>
    <row r="448" spans="1:12" x14ac:dyDescent="0.25">
      <c r="A448" s="57" t="s">
        <v>271</v>
      </c>
      <c r="B448" s="58" t="s">
        <v>308</v>
      </c>
      <c r="C448" s="58" t="s">
        <v>1035</v>
      </c>
      <c r="D448" s="58" t="s">
        <v>7</v>
      </c>
      <c r="E448" s="58" t="s">
        <v>1034</v>
      </c>
      <c r="F448" s="58" t="s">
        <v>1033</v>
      </c>
      <c r="G448" s="58">
        <v>0.80189999999999995</v>
      </c>
      <c r="H448" s="59">
        <v>7066834.9000000004</v>
      </c>
      <c r="I448" s="60">
        <v>5666949.7199999997</v>
      </c>
      <c r="J448" s="59">
        <v>1399885.1800000006</v>
      </c>
      <c r="K448" s="63">
        <v>45848</v>
      </c>
      <c r="L448" s="64">
        <v>46222</v>
      </c>
    </row>
    <row r="449" spans="1:12" x14ac:dyDescent="0.25">
      <c r="A449" s="57" t="s">
        <v>1032</v>
      </c>
      <c r="B449" s="58" t="s">
        <v>308</v>
      </c>
      <c r="C449" s="58" t="s">
        <v>580</v>
      </c>
      <c r="D449" s="58" t="s">
        <v>355</v>
      </c>
      <c r="E449" s="58" t="s">
        <v>1031</v>
      </c>
      <c r="F449" s="58" t="s">
        <v>1028</v>
      </c>
      <c r="G449" s="58">
        <v>0.83620000000000005</v>
      </c>
      <c r="H449" s="59">
        <v>11942741.09</v>
      </c>
      <c r="I449" s="60">
        <v>9986334.6300000008</v>
      </c>
      <c r="J449" s="59">
        <v>1956406.459999999</v>
      </c>
      <c r="K449" s="63">
        <v>44734</v>
      </c>
      <c r="L449" s="64">
        <v>45098</v>
      </c>
    </row>
    <row r="450" spans="1:12" x14ac:dyDescent="0.25">
      <c r="A450" s="57" t="s">
        <v>307</v>
      </c>
      <c r="B450" s="58" t="s">
        <v>308</v>
      </c>
      <c r="C450" s="58" t="s">
        <v>1030</v>
      </c>
      <c r="D450" s="58" t="s">
        <v>355</v>
      </c>
      <c r="E450" s="58" t="s">
        <v>1029</v>
      </c>
      <c r="F450" s="58" t="s">
        <v>1028</v>
      </c>
      <c r="G450" s="58">
        <v>0.94930000000000003</v>
      </c>
      <c r="H450" s="59">
        <v>48302952.43</v>
      </c>
      <c r="I450" s="60">
        <v>45853223.299999997</v>
      </c>
      <c r="J450" s="59">
        <v>2449729.1300000027</v>
      </c>
      <c r="K450" s="63">
        <v>45189</v>
      </c>
      <c r="L450" s="64">
        <v>45729</v>
      </c>
    </row>
    <row r="451" spans="1:12" x14ac:dyDescent="0.25">
      <c r="A451" s="57" t="s">
        <v>26</v>
      </c>
      <c r="B451" s="58" t="s">
        <v>308</v>
      </c>
      <c r="C451" s="58" t="s">
        <v>1027</v>
      </c>
      <c r="D451" s="58" t="s">
        <v>355</v>
      </c>
      <c r="E451" s="58" t="s">
        <v>1026</v>
      </c>
      <c r="F451" s="58" t="s">
        <v>1025</v>
      </c>
      <c r="G451" s="58">
        <v>0.91819999999999991</v>
      </c>
      <c r="H451" s="59">
        <v>30543662.309999999</v>
      </c>
      <c r="I451" s="60">
        <v>28044628.600000001</v>
      </c>
      <c r="J451" s="59">
        <v>2499033.7099999972</v>
      </c>
      <c r="K451" s="63">
        <v>44826</v>
      </c>
      <c r="L451" s="64">
        <v>45540</v>
      </c>
    </row>
    <row r="452" spans="1:12" x14ac:dyDescent="0.25">
      <c r="A452" s="57" t="s">
        <v>1024</v>
      </c>
      <c r="B452" s="58" t="s">
        <v>308</v>
      </c>
      <c r="C452" s="58"/>
      <c r="D452" s="58" t="s">
        <v>440</v>
      </c>
      <c r="E452" s="58" t="s">
        <v>1023</v>
      </c>
      <c r="F452" s="58" t="s">
        <v>337</v>
      </c>
      <c r="G452" s="58">
        <v>0</v>
      </c>
      <c r="H452" s="59">
        <v>4428509.8600000003</v>
      </c>
      <c r="I452" s="60">
        <v>0</v>
      </c>
      <c r="J452" s="59">
        <v>4428509.8600000003</v>
      </c>
      <c r="K452" s="61" t="s">
        <v>330</v>
      </c>
      <c r="L452" s="62" t="s">
        <v>330</v>
      </c>
    </row>
    <row r="453" spans="1:12" x14ac:dyDescent="0.25">
      <c r="A453" s="57" t="s">
        <v>1022</v>
      </c>
      <c r="B453" s="58" t="s">
        <v>308</v>
      </c>
      <c r="C453" s="58" t="s">
        <v>478</v>
      </c>
      <c r="D453" s="58" t="s">
        <v>355</v>
      </c>
      <c r="E453" s="58" t="s">
        <v>1021</v>
      </c>
      <c r="F453" s="58" t="s">
        <v>989</v>
      </c>
      <c r="G453" s="58">
        <v>0.91879999999999995</v>
      </c>
      <c r="H453" s="59">
        <v>54913544.950000003</v>
      </c>
      <c r="I453" s="60">
        <v>50454918.609999999</v>
      </c>
      <c r="J453" s="59">
        <v>4458626.3400000036</v>
      </c>
      <c r="K453" s="63">
        <v>44769</v>
      </c>
      <c r="L453" s="64">
        <v>45174</v>
      </c>
    </row>
    <row r="454" spans="1:12" x14ac:dyDescent="0.25">
      <c r="A454" s="57" t="s">
        <v>1020</v>
      </c>
      <c r="B454" s="58" t="s">
        <v>308</v>
      </c>
      <c r="C454" s="58"/>
      <c r="D454" s="58" t="s">
        <v>332</v>
      </c>
      <c r="E454" s="58" t="s">
        <v>1019</v>
      </c>
      <c r="F454" s="58" t="s">
        <v>337</v>
      </c>
      <c r="G454" s="58">
        <v>0</v>
      </c>
      <c r="H454" s="59">
        <v>5811891.25</v>
      </c>
      <c r="I454" s="60">
        <v>0</v>
      </c>
      <c r="J454" s="59">
        <v>5811891.25</v>
      </c>
      <c r="K454" s="61" t="s">
        <v>330</v>
      </c>
      <c r="L454" s="62" t="s">
        <v>330</v>
      </c>
    </row>
    <row r="455" spans="1:12" x14ac:dyDescent="0.25">
      <c r="A455" s="57" t="s">
        <v>278</v>
      </c>
      <c r="B455" s="58" t="s">
        <v>308</v>
      </c>
      <c r="C455" s="58" t="s">
        <v>1018</v>
      </c>
      <c r="D455" s="58" t="s">
        <v>7</v>
      </c>
      <c r="E455" s="58" t="s">
        <v>1017</v>
      </c>
      <c r="F455" s="58" t="s">
        <v>1016</v>
      </c>
      <c r="G455" s="58">
        <v>0.77390000000000003</v>
      </c>
      <c r="H455" s="59">
        <v>27434724</v>
      </c>
      <c r="I455" s="60">
        <v>21232327.940000001</v>
      </c>
      <c r="J455" s="59">
        <v>6202396.0599999987</v>
      </c>
      <c r="K455" s="63">
        <v>46002</v>
      </c>
      <c r="L455" s="64">
        <v>46242</v>
      </c>
    </row>
    <row r="456" spans="1:12" x14ac:dyDescent="0.25">
      <c r="A456" s="57" t="s">
        <v>1015</v>
      </c>
      <c r="B456" s="58" t="s">
        <v>308</v>
      </c>
      <c r="C456" s="58" t="s">
        <v>957</v>
      </c>
      <c r="D456" s="58" t="s">
        <v>355</v>
      </c>
      <c r="E456" s="58" t="s">
        <v>1014</v>
      </c>
      <c r="F456" s="58" t="s">
        <v>1013</v>
      </c>
      <c r="G456" s="58">
        <v>0.9224</v>
      </c>
      <c r="H456" s="59">
        <v>80552394.920000002</v>
      </c>
      <c r="I456" s="60">
        <v>74305045.469999999</v>
      </c>
      <c r="J456" s="59">
        <v>6247349.450000003</v>
      </c>
      <c r="K456" s="63">
        <v>44709</v>
      </c>
      <c r="L456" s="64">
        <v>45114</v>
      </c>
    </row>
    <row r="457" spans="1:12" x14ac:dyDescent="0.25">
      <c r="A457" s="57" t="s">
        <v>1012</v>
      </c>
      <c r="B457" s="58" t="s">
        <v>308</v>
      </c>
      <c r="C457" s="58"/>
      <c r="D457" s="58" t="s">
        <v>332</v>
      </c>
      <c r="E457" s="58" t="s">
        <v>1011</v>
      </c>
      <c r="F457" s="58" t="s">
        <v>337</v>
      </c>
      <c r="G457" s="58">
        <v>0</v>
      </c>
      <c r="H457" s="59">
        <v>8744326.5999999996</v>
      </c>
      <c r="I457" s="60">
        <v>0</v>
      </c>
      <c r="J457" s="59">
        <v>8744326.5999999996</v>
      </c>
      <c r="K457" s="61" t="s">
        <v>330</v>
      </c>
      <c r="L457" s="62" t="s">
        <v>330</v>
      </c>
    </row>
    <row r="458" spans="1:12" x14ac:dyDescent="0.25">
      <c r="A458" s="57" t="s">
        <v>1010</v>
      </c>
      <c r="B458" s="58" t="s">
        <v>308</v>
      </c>
      <c r="C458" s="58"/>
      <c r="D458" s="58" t="s">
        <v>332</v>
      </c>
      <c r="E458" s="58" t="s">
        <v>1009</v>
      </c>
      <c r="F458" s="58" t="s">
        <v>337</v>
      </c>
      <c r="G458" s="58">
        <v>0</v>
      </c>
      <c r="H458" s="59">
        <v>11950548.609999999</v>
      </c>
      <c r="I458" s="60">
        <v>0</v>
      </c>
      <c r="J458" s="59">
        <v>11950548.609999999</v>
      </c>
      <c r="K458" s="61" t="s">
        <v>330</v>
      </c>
      <c r="L458" s="62" t="s">
        <v>330</v>
      </c>
    </row>
    <row r="459" spans="1:12" x14ac:dyDescent="0.25">
      <c r="A459" s="57" t="s">
        <v>1008</v>
      </c>
      <c r="B459" s="58" t="s">
        <v>308</v>
      </c>
      <c r="C459" s="58"/>
      <c r="D459" s="58" t="s">
        <v>396</v>
      </c>
      <c r="E459" s="58" t="s">
        <v>1007</v>
      </c>
      <c r="F459" s="58" t="s">
        <v>337</v>
      </c>
      <c r="G459" s="58">
        <v>0</v>
      </c>
      <c r="H459" s="59">
        <v>19226191.030000001</v>
      </c>
      <c r="I459" s="60">
        <v>0</v>
      </c>
      <c r="J459" s="59">
        <v>19226191.030000001</v>
      </c>
      <c r="K459" s="61" t="s">
        <v>330</v>
      </c>
      <c r="L459" s="62" t="s">
        <v>330</v>
      </c>
    </row>
    <row r="460" spans="1:12" x14ac:dyDescent="0.25">
      <c r="A460" s="57" t="s">
        <v>1006</v>
      </c>
      <c r="B460" s="58" t="s">
        <v>308</v>
      </c>
      <c r="C460" s="58"/>
      <c r="D460" s="58" t="s">
        <v>339</v>
      </c>
      <c r="E460" s="58" t="s">
        <v>1005</v>
      </c>
      <c r="F460" s="58" t="s">
        <v>337</v>
      </c>
      <c r="G460" s="58">
        <v>0</v>
      </c>
      <c r="H460" s="59">
        <v>33552488.280000001</v>
      </c>
      <c r="I460" s="60">
        <v>0</v>
      </c>
      <c r="J460" s="59">
        <v>33552488.280000001</v>
      </c>
      <c r="K460" s="61" t="s">
        <v>330</v>
      </c>
      <c r="L460" s="62" t="s">
        <v>330</v>
      </c>
    </row>
    <row r="461" spans="1:12" x14ac:dyDescent="0.25">
      <c r="A461" s="57" t="s">
        <v>1004</v>
      </c>
      <c r="B461" s="58" t="s">
        <v>308</v>
      </c>
      <c r="C461" s="58" t="s">
        <v>1003</v>
      </c>
      <c r="D461" s="58" t="s">
        <v>355</v>
      </c>
      <c r="E461" s="58" t="s">
        <v>1002</v>
      </c>
      <c r="F461" s="58" t="s">
        <v>1001</v>
      </c>
      <c r="G461" s="58">
        <v>0.4476</v>
      </c>
      <c r="H461" s="59">
        <v>68148567.140000001</v>
      </c>
      <c r="I461" s="60">
        <v>30502735.41</v>
      </c>
      <c r="J461" s="59">
        <v>37645831.730000004</v>
      </c>
      <c r="K461" s="63">
        <v>44767</v>
      </c>
      <c r="L461" s="64">
        <v>45173</v>
      </c>
    </row>
    <row r="462" spans="1:12" x14ac:dyDescent="0.25">
      <c r="A462" s="57" t="s">
        <v>1000</v>
      </c>
      <c r="B462" s="58" t="s">
        <v>308</v>
      </c>
      <c r="C462" s="58"/>
      <c r="D462" s="58" t="s">
        <v>339</v>
      </c>
      <c r="E462" s="58" t="s">
        <v>999</v>
      </c>
      <c r="F462" s="58" t="s">
        <v>337</v>
      </c>
      <c r="G462" s="58">
        <v>0</v>
      </c>
      <c r="H462" s="59">
        <v>43005848.719999999</v>
      </c>
      <c r="I462" s="60">
        <v>0</v>
      </c>
      <c r="J462" s="59">
        <v>43005848.719999999</v>
      </c>
      <c r="K462" s="61" t="s">
        <v>330</v>
      </c>
      <c r="L462" s="62" t="s">
        <v>330</v>
      </c>
    </row>
    <row r="463" spans="1:12" x14ac:dyDescent="0.25">
      <c r="A463" s="57" t="s">
        <v>998</v>
      </c>
      <c r="B463" s="58" t="s">
        <v>255</v>
      </c>
      <c r="C463" s="58" t="s">
        <v>997</v>
      </c>
      <c r="D463" s="58" t="s">
        <v>355</v>
      </c>
      <c r="E463" s="58" t="s">
        <v>996</v>
      </c>
      <c r="F463" s="58" t="s">
        <v>995</v>
      </c>
      <c r="G463" s="58">
        <v>0.99840000000000007</v>
      </c>
      <c r="H463" s="59">
        <v>1498793.43</v>
      </c>
      <c r="I463" s="60">
        <v>1496414.32</v>
      </c>
      <c r="J463" s="59">
        <v>2379.1099999998696</v>
      </c>
      <c r="K463" s="63">
        <v>45195</v>
      </c>
      <c r="L463" s="64">
        <v>45121</v>
      </c>
    </row>
    <row r="464" spans="1:12" x14ac:dyDescent="0.25">
      <c r="A464" s="57" t="s">
        <v>994</v>
      </c>
      <c r="B464" s="58" t="s">
        <v>255</v>
      </c>
      <c r="C464" s="58" t="s">
        <v>993</v>
      </c>
      <c r="D464" s="58" t="s">
        <v>355</v>
      </c>
      <c r="E464" s="58" t="s">
        <v>992</v>
      </c>
      <c r="F464" s="58" t="s">
        <v>952</v>
      </c>
      <c r="G464" s="58">
        <v>0.97180000000000011</v>
      </c>
      <c r="H464" s="59">
        <v>1988555.07</v>
      </c>
      <c r="I464" s="60">
        <v>1932548.63</v>
      </c>
      <c r="J464" s="59">
        <v>56006.440000000177</v>
      </c>
      <c r="K464" s="63">
        <v>44742</v>
      </c>
      <c r="L464" s="64">
        <v>45412</v>
      </c>
    </row>
    <row r="465" spans="1:12" x14ac:dyDescent="0.25">
      <c r="A465" s="57" t="s">
        <v>254</v>
      </c>
      <c r="B465" s="58" t="s">
        <v>255</v>
      </c>
      <c r="C465" s="58" t="s">
        <v>991</v>
      </c>
      <c r="D465" s="58" t="s">
        <v>7</v>
      </c>
      <c r="E465" s="58" t="s">
        <v>990</v>
      </c>
      <c r="F465" s="58" t="s">
        <v>989</v>
      </c>
      <c r="G465" s="58">
        <v>0.60799999999999998</v>
      </c>
      <c r="H465" s="59">
        <v>2860442.12</v>
      </c>
      <c r="I465" s="60">
        <v>1739254.2</v>
      </c>
      <c r="J465" s="59">
        <v>1121187.9200000002</v>
      </c>
      <c r="K465" s="63">
        <v>45782</v>
      </c>
      <c r="L465" s="64">
        <v>46083</v>
      </c>
    </row>
    <row r="466" spans="1:12" x14ac:dyDescent="0.25">
      <c r="A466" s="57" t="s">
        <v>988</v>
      </c>
      <c r="B466" s="58" t="s">
        <v>255</v>
      </c>
      <c r="C466" s="58"/>
      <c r="D466" s="58" t="s">
        <v>332</v>
      </c>
      <c r="E466" s="58" t="s">
        <v>987</v>
      </c>
      <c r="F466" s="58" t="s">
        <v>337</v>
      </c>
      <c r="G466" s="58">
        <v>0</v>
      </c>
      <c r="H466" s="59">
        <v>1125866.74</v>
      </c>
      <c r="I466" s="60">
        <v>0</v>
      </c>
      <c r="J466" s="59">
        <v>1125866.74</v>
      </c>
      <c r="K466" s="61" t="s">
        <v>330</v>
      </c>
      <c r="L466" s="62" t="s">
        <v>330</v>
      </c>
    </row>
    <row r="467" spans="1:12" x14ac:dyDescent="0.25">
      <c r="A467" s="57" t="s">
        <v>986</v>
      </c>
      <c r="B467" s="58" t="s">
        <v>961</v>
      </c>
      <c r="C467" s="58"/>
      <c r="D467" s="58" t="s">
        <v>367</v>
      </c>
      <c r="E467" s="58" t="s">
        <v>985</v>
      </c>
      <c r="F467" s="58" t="s">
        <v>337</v>
      </c>
      <c r="G467" s="58">
        <v>0</v>
      </c>
      <c r="H467" s="59">
        <v>0</v>
      </c>
      <c r="I467" s="60">
        <v>0</v>
      </c>
      <c r="J467" s="59">
        <v>0</v>
      </c>
      <c r="K467" s="61" t="s">
        <v>330</v>
      </c>
      <c r="L467" s="62" t="s">
        <v>330</v>
      </c>
    </row>
    <row r="468" spans="1:12" x14ac:dyDescent="0.25">
      <c r="A468" s="57" t="s">
        <v>984</v>
      </c>
      <c r="B468" s="58" t="s">
        <v>961</v>
      </c>
      <c r="C468" s="58"/>
      <c r="D468" s="58" t="s">
        <v>339</v>
      </c>
      <c r="E468" s="58" t="s">
        <v>983</v>
      </c>
      <c r="F468" s="58" t="s">
        <v>337</v>
      </c>
      <c r="G468" s="58">
        <v>0</v>
      </c>
      <c r="H468" s="59">
        <v>0</v>
      </c>
      <c r="I468" s="60">
        <v>0</v>
      </c>
      <c r="J468" s="59">
        <v>0</v>
      </c>
      <c r="K468" s="61" t="s">
        <v>330</v>
      </c>
      <c r="L468" s="62" t="s">
        <v>330</v>
      </c>
    </row>
    <row r="469" spans="1:12" x14ac:dyDescent="0.25">
      <c r="A469" s="57" t="s">
        <v>982</v>
      </c>
      <c r="B469" s="58" t="s">
        <v>961</v>
      </c>
      <c r="C469" s="58"/>
      <c r="D469" s="58" t="s">
        <v>332</v>
      </c>
      <c r="E469" s="58" t="s">
        <v>981</v>
      </c>
      <c r="F469" s="58" t="s">
        <v>337</v>
      </c>
      <c r="G469" s="65" t="s">
        <v>330</v>
      </c>
      <c r="H469" s="59">
        <v>0</v>
      </c>
      <c r="I469" s="60">
        <v>0</v>
      </c>
      <c r="J469" s="59">
        <v>0</v>
      </c>
      <c r="K469" s="61" t="s">
        <v>330</v>
      </c>
      <c r="L469" s="62" t="s">
        <v>330</v>
      </c>
    </row>
    <row r="470" spans="1:12" x14ac:dyDescent="0.25">
      <c r="A470" s="57" t="s">
        <v>980</v>
      </c>
      <c r="B470" s="58" t="s">
        <v>961</v>
      </c>
      <c r="C470" s="58"/>
      <c r="D470" s="58" t="s">
        <v>332</v>
      </c>
      <c r="E470" s="58" t="s">
        <v>979</v>
      </c>
      <c r="F470" s="58" t="s">
        <v>337</v>
      </c>
      <c r="G470" s="58">
        <v>0</v>
      </c>
      <c r="H470" s="59">
        <v>0</v>
      </c>
      <c r="I470" s="60">
        <v>0</v>
      </c>
      <c r="J470" s="59">
        <v>0</v>
      </c>
      <c r="K470" s="61" t="s">
        <v>330</v>
      </c>
      <c r="L470" s="62" t="s">
        <v>330</v>
      </c>
    </row>
    <row r="471" spans="1:12" x14ac:dyDescent="0.25">
      <c r="A471" s="57" t="s">
        <v>978</v>
      </c>
      <c r="B471" s="58" t="s">
        <v>961</v>
      </c>
      <c r="C471" s="58"/>
      <c r="D471" s="58" t="s">
        <v>332</v>
      </c>
      <c r="E471" s="58" t="s">
        <v>977</v>
      </c>
      <c r="F471" s="58" t="s">
        <v>337</v>
      </c>
      <c r="G471" s="58">
        <v>0</v>
      </c>
      <c r="H471" s="59">
        <v>0</v>
      </c>
      <c r="I471" s="60">
        <v>0</v>
      </c>
      <c r="J471" s="59">
        <v>0</v>
      </c>
      <c r="K471" s="61" t="s">
        <v>330</v>
      </c>
      <c r="L471" s="62" t="s">
        <v>330</v>
      </c>
    </row>
    <row r="472" spans="1:12" x14ac:dyDescent="0.25">
      <c r="A472" s="57" t="s">
        <v>976</v>
      </c>
      <c r="B472" s="58" t="s">
        <v>961</v>
      </c>
      <c r="C472" s="58"/>
      <c r="D472" s="58" t="s">
        <v>332</v>
      </c>
      <c r="E472" s="58" t="s">
        <v>975</v>
      </c>
      <c r="F472" s="58" t="s">
        <v>337</v>
      </c>
      <c r="G472" s="58">
        <v>0</v>
      </c>
      <c r="H472" s="59">
        <v>0</v>
      </c>
      <c r="I472" s="60">
        <v>0</v>
      </c>
      <c r="J472" s="59">
        <v>0</v>
      </c>
      <c r="K472" s="61" t="s">
        <v>330</v>
      </c>
      <c r="L472" s="62" t="s">
        <v>330</v>
      </c>
    </row>
    <row r="473" spans="1:12" x14ac:dyDescent="0.25">
      <c r="A473" s="57" t="s">
        <v>974</v>
      </c>
      <c r="B473" s="58" t="s">
        <v>961</v>
      </c>
      <c r="C473" s="58"/>
      <c r="D473" s="58" t="s">
        <v>332</v>
      </c>
      <c r="E473" s="58" t="s">
        <v>973</v>
      </c>
      <c r="F473" s="58" t="s">
        <v>337</v>
      </c>
      <c r="G473" s="58">
        <v>0</v>
      </c>
      <c r="H473" s="59">
        <v>0</v>
      </c>
      <c r="I473" s="60">
        <v>0</v>
      </c>
      <c r="J473" s="59">
        <v>0</v>
      </c>
      <c r="K473" s="61" t="s">
        <v>330</v>
      </c>
      <c r="L473" s="62" t="s">
        <v>330</v>
      </c>
    </row>
    <row r="474" spans="1:12" x14ac:dyDescent="0.25">
      <c r="A474" s="57" t="s">
        <v>972</v>
      </c>
      <c r="B474" s="58" t="s">
        <v>961</v>
      </c>
      <c r="C474" s="58"/>
      <c r="D474" s="58" t="s">
        <v>332</v>
      </c>
      <c r="E474" s="58" t="s">
        <v>971</v>
      </c>
      <c r="F474" s="58" t="s">
        <v>337</v>
      </c>
      <c r="G474" s="65" t="s">
        <v>330</v>
      </c>
      <c r="H474" s="59">
        <v>343878.94</v>
      </c>
      <c r="I474" s="60">
        <v>0</v>
      </c>
      <c r="J474" s="59">
        <v>343878.94</v>
      </c>
      <c r="K474" s="61" t="s">
        <v>330</v>
      </c>
      <c r="L474" s="62" t="s">
        <v>330</v>
      </c>
    </row>
    <row r="475" spans="1:12" x14ac:dyDescent="0.25">
      <c r="A475" s="57" t="s">
        <v>970</v>
      </c>
      <c r="B475" s="58" t="s">
        <v>961</v>
      </c>
      <c r="C475" s="58"/>
      <c r="D475" s="58" t="s">
        <v>332</v>
      </c>
      <c r="E475" s="58" t="s">
        <v>969</v>
      </c>
      <c r="F475" s="58" t="s">
        <v>337</v>
      </c>
      <c r="G475" s="65" t="s">
        <v>330</v>
      </c>
      <c r="H475" s="59">
        <v>343878.94</v>
      </c>
      <c r="I475" s="60">
        <v>0</v>
      </c>
      <c r="J475" s="59">
        <v>343878.94</v>
      </c>
      <c r="K475" s="61" t="s">
        <v>330</v>
      </c>
      <c r="L475" s="62" t="s">
        <v>330</v>
      </c>
    </row>
    <row r="476" spans="1:12" x14ac:dyDescent="0.25">
      <c r="A476" s="57" t="s">
        <v>968</v>
      </c>
      <c r="B476" s="58" t="s">
        <v>961</v>
      </c>
      <c r="C476" s="58"/>
      <c r="D476" s="58" t="s">
        <v>396</v>
      </c>
      <c r="E476" s="58" t="s">
        <v>967</v>
      </c>
      <c r="F476" s="58" t="s">
        <v>337</v>
      </c>
      <c r="G476" s="58">
        <v>0</v>
      </c>
      <c r="H476" s="59">
        <v>445789.02</v>
      </c>
      <c r="I476" s="60">
        <v>0</v>
      </c>
      <c r="J476" s="59">
        <v>445789.02</v>
      </c>
      <c r="K476" s="61" t="s">
        <v>330</v>
      </c>
      <c r="L476" s="62" t="s">
        <v>330</v>
      </c>
    </row>
    <row r="477" spans="1:12" x14ac:dyDescent="0.25">
      <c r="A477" s="57" t="s">
        <v>966</v>
      </c>
      <c r="B477" s="58" t="s">
        <v>961</v>
      </c>
      <c r="C477" s="58"/>
      <c r="D477" s="58" t="s">
        <v>396</v>
      </c>
      <c r="E477" s="58" t="s">
        <v>965</v>
      </c>
      <c r="F477" s="58" t="s">
        <v>337</v>
      </c>
      <c r="G477" s="58">
        <v>0</v>
      </c>
      <c r="H477" s="59">
        <v>468288.78</v>
      </c>
      <c r="I477" s="60">
        <v>0</v>
      </c>
      <c r="J477" s="59">
        <v>468288.78</v>
      </c>
      <c r="K477" s="61" t="s">
        <v>330</v>
      </c>
      <c r="L477" s="62" t="s">
        <v>330</v>
      </c>
    </row>
    <row r="478" spans="1:12" x14ac:dyDescent="0.25">
      <c r="A478" s="57" t="s">
        <v>964</v>
      </c>
      <c r="B478" s="58" t="s">
        <v>961</v>
      </c>
      <c r="C478" s="58"/>
      <c r="D478" s="58" t="s">
        <v>396</v>
      </c>
      <c r="E478" s="58" t="s">
        <v>963</v>
      </c>
      <c r="F478" s="58" t="s">
        <v>337</v>
      </c>
      <c r="G478" s="58">
        <v>0</v>
      </c>
      <c r="H478" s="59">
        <v>595159.22</v>
      </c>
      <c r="I478" s="60">
        <v>0</v>
      </c>
      <c r="J478" s="59">
        <v>595159.22</v>
      </c>
      <c r="K478" s="61" t="s">
        <v>330</v>
      </c>
      <c r="L478" s="62" t="s">
        <v>330</v>
      </c>
    </row>
    <row r="479" spans="1:12" x14ac:dyDescent="0.25">
      <c r="A479" s="57" t="s">
        <v>962</v>
      </c>
      <c r="B479" s="58" t="s">
        <v>961</v>
      </c>
      <c r="C479" s="58" t="s">
        <v>960</v>
      </c>
      <c r="D479" s="58" t="s">
        <v>396</v>
      </c>
      <c r="E479" s="58" t="s">
        <v>959</v>
      </c>
      <c r="F479" s="58" t="s">
        <v>958</v>
      </c>
      <c r="G479" s="58">
        <v>0.7501000000000001</v>
      </c>
      <c r="H479" s="59">
        <v>7375462.4500000002</v>
      </c>
      <c r="I479" s="60">
        <v>5532574.7599999998</v>
      </c>
      <c r="J479" s="59">
        <v>1842887.6900000004</v>
      </c>
      <c r="K479" s="63">
        <v>44783</v>
      </c>
      <c r="L479" s="62" t="s">
        <v>330</v>
      </c>
    </row>
    <row r="480" spans="1:12" x14ac:dyDescent="0.25">
      <c r="A480" s="57" t="s">
        <v>203</v>
      </c>
      <c r="B480" s="58" t="s">
        <v>204</v>
      </c>
      <c r="C480" s="58" t="s">
        <v>957</v>
      </c>
      <c r="D480" s="58" t="s">
        <v>355</v>
      </c>
      <c r="E480" s="58" t="s">
        <v>956</v>
      </c>
      <c r="F480" s="58" t="s">
        <v>905</v>
      </c>
      <c r="G480" s="58">
        <v>0.9998999999999999</v>
      </c>
      <c r="H480" s="59">
        <v>5272095.08</v>
      </c>
      <c r="I480" s="60">
        <v>5271693.21</v>
      </c>
      <c r="J480" s="59">
        <v>401.87000000011176</v>
      </c>
      <c r="K480" s="63">
        <v>44746</v>
      </c>
      <c r="L480" s="64">
        <v>45560</v>
      </c>
    </row>
    <row r="481" spans="1:12" x14ac:dyDescent="0.25">
      <c r="A481" s="57" t="s">
        <v>955</v>
      </c>
      <c r="B481" s="58" t="s">
        <v>204</v>
      </c>
      <c r="C481" s="58" t="s">
        <v>954</v>
      </c>
      <c r="D481" s="58" t="s">
        <v>355</v>
      </c>
      <c r="E481" s="58" t="s">
        <v>953</v>
      </c>
      <c r="F481" s="58" t="s">
        <v>952</v>
      </c>
      <c r="G481" s="58">
        <v>0.99309999999999998</v>
      </c>
      <c r="H481" s="59">
        <v>1690234.37</v>
      </c>
      <c r="I481" s="60">
        <v>1678610.19</v>
      </c>
      <c r="J481" s="59">
        <v>11624.180000000168</v>
      </c>
      <c r="K481" s="63">
        <v>44772</v>
      </c>
      <c r="L481" s="64">
        <v>45316</v>
      </c>
    </row>
    <row r="482" spans="1:12" x14ac:dyDescent="0.25">
      <c r="A482" s="57" t="s">
        <v>248</v>
      </c>
      <c r="B482" s="58" t="s">
        <v>204</v>
      </c>
      <c r="C482" s="58" t="s">
        <v>951</v>
      </c>
      <c r="D482" s="58" t="s">
        <v>355</v>
      </c>
      <c r="E482" s="58" t="s">
        <v>950</v>
      </c>
      <c r="F482" s="58" t="s">
        <v>949</v>
      </c>
      <c r="G482" s="58">
        <v>0.99939999999999996</v>
      </c>
      <c r="H482" s="59">
        <v>26946699.359999999</v>
      </c>
      <c r="I482" s="60">
        <v>26930984.02</v>
      </c>
      <c r="J482" s="59">
        <v>15715.339999999851</v>
      </c>
      <c r="K482" s="63">
        <v>44823</v>
      </c>
      <c r="L482" s="64">
        <v>45816</v>
      </c>
    </row>
    <row r="483" spans="1:12" x14ac:dyDescent="0.25">
      <c r="A483" s="57" t="s">
        <v>948</v>
      </c>
      <c r="B483" s="58" t="s">
        <v>204</v>
      </c>
      <c r="C483" s="58"/>
      <c r="D483" s="58" t="s">
        <v>339</v>
      </c>
      <c r="E483" s="58" t="s">
        <v>947</v>
      </c>
      <c r="F483" s="58" t="s">
        <v>337</v>
      </c>
      <c r="G483" s="58">
        <v>0</v>
      </c>
      <c r="H483" s="59">
        <v>8835167.0800000001</v>
      </c>
      <c r="I483" s="60">
        <v>0</v>
      </c>
      <c r="J483" s="59">
        <v>8835167.0800000001</v>
      </c>
      <c r="K483" s="61" t="s">
        <v>330</v>
      </c>
      <c r="L483" s="62" t="s">
        <v>330</v>
      </c>
    </row>
    <row r="484" spans="1:12" x14ac:dyDescent="0.25">
      <c r="A484" s="57" t="s">
        <v>946</v>
      </c>
      <c r="B484" s="58" t="s">
        <v>208</v>
      </c>
      <c r="C484" s="58" t="s">
        <v>698</v>
      </c>
      <c r="D484" s="58" t="s">
        <v>355</v>
      </c>
      <c r="E484" s="58" t="s">
        <v>945</v>
      </c>
      <c r="F484" s="58" t="s">
        <v>905</v>
      </c>
      <c r="G484" s="58">
        <v>1</v>
      </c>
      <c r="H484" s="59">
        <v>3607367.42</v>
      </c>
      <c r="I484" s="60">
        <v>3607318.65</v>
      </c>
      <c r="J484" s="59">
        <v>48.770000000018626</v>
      </c>
      <c r="K484" s="63">
        <v>45061</v>
      </c>
      <c r="L484" s="64">
        <v>45016</v>
      </c>
    </row>
    <row r="485" spans="1:12" x14ac:dyDescent="0.25">
      <c r="A485" s="57" t="s">
        <v>206</v>
      </c>
      <c r="B485" s="58" t="s">
        <v>208</v>
      </c>
      <c r="C485" s="58" t="s">
        <v>944</v>
      </c>
      <c r="D485" s="58" t="s">
        <v>355</v>
      </c>
      <c r="E485" s="58" t="s">
        <v>943</v>
      </c>
      <c r="F485" s="58" t="s">
        <v>905</v>
      </c>
      <c r="G485" s="58">
        <v>0.99580000000000002</v>
      </c>
      <c r="H485" s="59">
        <v>4645152.25</v>
      </c>
      <c r="I485" s="60">
        <v>4625557.49</v>
      </c>
      <c r="J485" s="59">
        <v>19594.759999999776</v>
      </c>
      <c r="K485" s="63">
        <v>44918</v>
      </c>
      <c r="L485" s="64">
        <v>45485</v>
      </c>
    </row>
    <row r="486" spans="1:12" x14ac:dyDescent="0.25">
      <c r="A486" s="57" t="s">
        <v>942</v>
      </c>
      <c r="B486" s="58" t="s">
        <v>208</v>
      </c>
      <c r="C486" s="58"/>
      <c r="D486" s="58" t="s">
        <v>332</v>
      </c>
      <c r="E486" s="58" t="s">
        <v>941</v>
      </c>
      <c r="F486" s="58" t="s">
        <v>337</v>
      </c>
      <c r="G486" s="58">
        <v>0</v>
      </c>
      <c r="H486" s="59">
        <v>1153710.54</v>
      </c>
      <c r="I486" s="60">
        <v>0</v>
      </c>
      <c r="J486" s="59">
        <v>1153710.54</v>
      </c>
      <c r="K486" s="61" t="s">
        <v>330</v>
      </c>
      <c r="L486" s="62" t="s">
        <v>330</v>
      </c>
    </row>
    <row r="487" spans="1:12" x14ac:dyDescent="0.25">
      <c r="A487" s="57" t="s">
        <v>77</v>
      </c>
      <c r="B487" s="58" t="s">
        <v>52</v>
      </c>
      <c r="C487" s="58" t="s">
        <v>940</v>
      </c>
      <c r="D487" s="58" t="s">
        <v>355</v>
      </c>
      <c r="E487" s="58" t="s">
        <v>939</v>
      </c>
      <c r="F487" s="58" t="s">
        <v>938</v>
      </c>
      <c r="G487" s="58">
        <v>1</v>
      </c>
      <c r="H487" s="59">
        <v>13242425.640000001</v>
      </c>
      <c r="I487" s="60">
        <v>13242495.84</v>
      </c>
      <c r="J487" s="59">
        <v>-70.199999999254942</v>
      </c>
      <c r="K487" s="63">
        <v>44923</v>
      </c>
      <c r="L487" s="64">
        <v>45531</v>
      </c>
    </row>
    <row r="488" spans="1:12" x14ac:dyDescent="0.25">
      <c r="A488" s="57" t="s">
        <v>87</v>
      </c>
      <c r="B488" s="58" t="s">
        <v>52</v>
      </c>
      <c r="C488" s="58" t="s">
        <v>937</v>
      </c>
      <c r="D488" s="58" t="s">
        <v>355</v>
      </c>
      <c r="E488" s="58" t="s">
        <v>936</v>
      </c>
      <c r="F488" s="58" t="s">
        <v>424</v>
      </c>
      <c r="G488" s="58">
        <v>1</v>
      </c>
      <c r="H488" s="59">
        <v>20859068.440000001</v>
      </c>
      <c r="I488" s="60">
        <v>20859068.440000001</v>
      </c>
      <c r="J488" s="59">
        <v>0</v>
      </c>
      <c r="K488" s="63">
        <v>45007</v>
      </c>
      <c r="L488" s="64">
        <v>45851</v>
      </c>
    </row>
    <row r="489" spans="1:12" x14ac:dyDescent="0.25">
      <c r="A489" s="57" t="s">
        <v>935</v>
      </c>
      <c r="B489" s="58" t="s">
        <v>52</v>
      </c>
      <c r="C489" s="58"/>
      <c r="D489" s="58" t="s">
        <v>339</v>
      </c>
      <c r="E489" s="58" t="s">
        <v>934</v>
      </c>
      <c r="F489" s="58" t="s">
        <v>337</v>
      </c>
      <c r="G489" s="65" t="s">
        <v>330</v>
      </c>
      <c r="H489" s="59">
        <v>0</v>
      </c>
      <c r="I489" s="60">
        <v>0</v>
      </c>
      <c r="J489" s="59">
        <v>0</v>
      </c>
      <c r="K489" s="61" t="s">
        <v>330</v>
      </c>
      <c r="L489" s="62" t="s">
        <v>330</v>
      </c>
    </row>
    <row r="490" spans="1:12" x14ac:dyDescent="0.25">
      <c r="A490" s="57" t="s">
        <v>93</v>
      </c>
      <c r="B490" s="58" t="s">
        <v>52</v>
      </c>
      <c r="C490" s="58" t="s">
        <v>727</v>
      </c>
      <c r="D490" s="58" t="s">
        <v>355</v>
      </c>
      <c r="E490" s="58" t="s">
        <v>933</v>
      </c>
      <c r="F490" s="58" t="s">
        <v>932</v>
      </c>
      <c r="G490" s="58">
        <v>0.98419999999999996</v>
      </c>
      <c r="H490" s="59">
        <v>20229149.789999999</v>
      </c>
      <c r="I490" s="60">
        <v>19910398.370000001</v>
      </c>
      <c r="J490" s="59">
        <v>318751.41999999806</v>
      </c>
      <c r="K490" s="63">
        <v>44697</v>
      </c>
      <c r="L490" s="64">
        <v>45783</v>
      </c>
    </row>
    <row r="491" spans="1:12" x14ac:dyDescent="0.25">
      <c r="A491" s="57" t="s">
        <v>931</v>
      </c>
      <c r="B491" s="58" t="s">
        <v>52</v>
      </c>
      <c r="C491" s="58"/>
      <c r="D491" s="58" t="s">
        <v>332</v>
      </c>
      <c r="E491" s="58" t="s">
        <v>930</v>
      </c>
      <c r="F491" s="58" t="s">
        <v>337</v>
      </c>
      <c r="G491" s="58">
        <v>0</v>
      </c>
      <c r="H491" s="59">
        <v>5290941.22</v>
      </c>
      <c r="I491" s="60">
        <v>0</v>
      </c>
      <c r="J491" s="59">
        <v>5290941.22</v>
      </c>
      <c r="K491" s="61" t="s">
        <v>330</v>
      </c>
      <c r="L491" s="62" t="s">
        <v>330</v>
      </c>
    </row>
    <row r="492" spans="1:12" x14ac:dyDescent="0.25">
      <c r="A492" s="57" t="s">
        <v>929</v>
      </c>
      <c r="B492" s="58" t="s">
        <v>52</v>
      </c>
      <c r="C492" s="58"/>
      <c r="D492" s="58" t="s">
        <v>332</v>
      </c>
      <c r="E492" s="58" t="s">
        <v>928</v>
      </c>
      <c r="F492" s="58" t="s">
        <v>337</v>
      </c>
      <c r="G492" s="58">
        <v>0</v>
      </c>
      <c r="H492" s="59">
        <v>6050816.8700000001</v>
      </c>
      <c r="I492" s="60">
        <v>0</v>
      </c>
      <c r="J492" s="59">
        <v>6050816.8700000001</v>
      </c>
      <c r="K492" s="61" t="s">
        <v>330</v>
      </c>
      <c r="L492" s="62" t="s">
        <v>330</v>
      </c>
    </row>
    <row r="493" spans="1:12" x14ac:dyDescent="0.25">
      <c r="A493" s="57" t="s">
        <v>113</v>
      </c>
      <c r="B493" s="58" t="s">
        <v>52</v>
      </c>
      <c r="C493" s="58" t="s">
        <v>927</v>
      </c>
      <c r="D493" s="58" t="s">
        <v>426</v>
      </c>
      <c r="E493" s="58" t="s">
        <v>926</v>
      </c>
      <c r="F493" s="58" t="s">
        <v>353</v>
      </c>
      <c r="G493" s="58">
        <v>0</v>
      </c>
      <c r="H493" s="59">
        <v>6784130.4400000004</v>
      </c>
      <c r="I493" s="60">
        <v>0</v>
      </c>
      <c r="J493" s="59">
        <v>6784130.4400000004</v>
      </c>
      <c r="K493" s="63">
        <v>45100</v>
      </c>
      <c r="L493" s="64">
        <v>45400</v>
      </c>
    </row>
    <row r="494" spans="1:12" x14ac:dyDescent="0.25">
      <c r="A494" s="57" t="s">
        <v>51</v>
      </c>
      <c r="B494" s="58" t="s">
        <v>52</v>
      </c>
      <c r="C494" s="58" t="s">
        <v>925</v>
      </c>
      <c r="D494" s="58" t="s">
        <v>355</v>
      </c>
      <c r="E494" s="58" t="s">
        <v>924</v>
      </c>
      <c r="F494" s="58" t="s">
        <v>683</v>
      </c>
      <c r="G494" s="58">
        <v>0.66049999999999998</v>
      </c>
      <c r="H494" s="59">
        <v>20185137.809999999</v>
      </c>
      <c r="I494" s="60">
        <v>13332401.6</v>
      </c>
      <c r="J494" s="59">
        <v>6852736.209999999</v>
      </c>
      <c r="K494" s="63">
        <v>44754</v>
      </c>
      <c r="L494" s="64">
        <v>45566</v>
      </c>
    </row>
    <row r="495" spans="1:12" x14ac:dyDescent="0.25">
      <c r="A495" s="57" t="s">
        <v>76</v>
      </c>
      <c r="B495" s="58" t="s">
        <v>52</v>
      </c>
      <c r="C495" s="58" t="s">
        <v>923</v>
      </c>
      <c r="D495" s="58" t="s">
        <v>7</v>
      </c>
      <c r="E495" s="58" t="s">
        <v>922</v>
      </c>
      <c r="F495" s="58" t="s">
        <v>424</v>
      </c>
      <c r="G495" s="58">
        <v>1.6500000000000001E-2</v>
      </c>
      <c r="H495" s="59">
        <v>7430869.3200000003</v>
      </c>
      <c r="I495" s="60">
        <v>122778.19</v>
      </c>
      <c r="J495" s="59">
        <v>7308091.1299999999</v>
      </c>
      <c r="K495" s="63">
        <v>45865</v>
      </c>
      <c r="L495" s="64">
        <v>46166</v>
      </c>
    </row>
    <row r="496" spans="1:12" x14ac:dyDescent="0.25">
      <c r="A496" s="57" t="s">
        <v>921</v>
      </c>
      <c r="B496" s="58" t="s">
        <v>52</v>
      </c>
      <c r="C496" s="58" t="s">
        <v>920</v>
      </c>
      <c r="D496" s="58" t="s">
        <v>396</v>
      </c>
      <c r="E496" s="58" t="s">
        <v>919</v>
      </c>
      <c r="F496" s="58" t="s">
        <v>918</v>
      </c>
      <c r="G496" s="58">
        <v>0</v>
      </c>
      <c r="H496" s="59">
        <v>13000000</v>
      </c>
      <c r="I496" s="60">
        <v>0</v>
      </c>
      <c r="J496" s="59">
        <v>13000000</v>
      </c>
      <c r="K496" s="63">
        <v>44702</v>
      </c>
      <c r="L496" s="62" t="s">
        <v>330</v>
      </c>
    </row>
    <row r="497" spans="1:12" x14ac:dyDescent="0.25">
      <c r="A497" s="57" t="s">
        <v>917</v>
      </c>
      <c r="B497" s="58" t="s">
        <v>52</v>
      </c>
      <c r="C497" s="58"/>
      <c r="D497" s="58" t="s">
        <v>367</v>
      </c>
      <c r="E497" s="58" t="s">
        <v>916</v>
      </c>
      <c r="F497" s="58" t="s">
        <v>337</v>
      </c>
      <c r="G497" s="58">
        <v>0</v>
      </c>
      <c r="H497" s="59">
        <v>17110098.699999999</v>
      </c>
      <c r="I497" s="60">
        <v>0</v>
      </c>
      <c r="J497" s="59">
        <v>17110098.699999999</v>
      </c>
      <c r="K497" s="61" t="s">
        <v>330</v>
      </c>
      <c r="L497" s="62" t="s">
        <v>330</v>
      </c>
    </row>
    <row r="498" spans="1:12" x14ac:dyDescent="0.25">
      <c r="A498" s="57" t="s">
        <v>915</v>
      </c>
      <c r="B498" s="58" t="s">
        <v>52</v>
      </c>
      <c r="C498" s="58"/>
      <c r="D498" s="58" t="s">
        <v>332</v>
      </c>
      <c r="E498" s="58" t="s">
        <v>914</v>
      </c>
      <c r="F498" s="58" t="s">
        <v>337</v>
      </c>
      <c r="G498" s="58">
        <v>0</v>
      </c>
      <c r="H498" s="59">
        <v>48162108.619999997</v>
      </c>
      <c r="I498" s="60">
        <v>0</v>
      </c>
      <c r="J498" s="59">
        <v>48162108.619999997</v>
      </c>
      <c r="K498" s="61" t="s">
        <v>330</v>
      </c>
      <c r="L498" s="62" t="s">
        <v>330</v>
      </c>
    </row>
    <row r="499" spans="1:12" x14ac:dyDescent="0.25">
      <c r="A499" s="57" t="s">
        <v>913</v>
      </c>
      <c r="B499" s="58" t="s">
        <v>52</v>
      </c>
      <c r="C499" s="58"/>
      <c r="D499" s="58" t="s">
        <v>332</v>
      </c>
      <c r="E499" s="58" t="s">
        <v>912</v>
      </c>
      <c r="F499" s="58" t="s">
        <v>337</v>
      </c>
      <c r="G499" s="58">
        <v>0</v>
      </c>
      <c r="H499" s="59">
        <v>103969834.17</v>
      </c>
      <c r="I499" s="60">
        <v>0</v>
      </c>
      <c r="J499" s="59">
        <v>103969834.17</v>
      </c>
      <c r="K499" s="61" t="s">
        <v>330</v>
      </c>
      <c r="L499" s="62" t="s">
        <v>330</v>
      </c>
    </row>
    <row r="500" spans="1:12" x14ac:dyDescent="0.25">
      <c r="A500" s="57" t="s">
        <v>911</v>
      </c>
      <c r="B500" s="58" t="s">
        <v>910</v>
      </c>
      <c r="C500" s="58"/>
      <c r="D500" s="58" t="s">
        <v>332</v>
      </c>
      <c r="E500" s="58" t="s">
        <v>909</v>
      </c>
      <c r="F500" s="58" t="s">
        <v>337</v>
      </c>
      <c r="G500" s="58">
        <v>0</v>
      </c>
      <c r="H500" s="59">
        <v>1996353.53</v>
      </c>
      <c r="I500" s="60">
        <v>0</v>
      </c>
      <c r="J500" s="59">
        <v>1996353.53</v>
      </c>
      <c r="K500" s="61" t="s">
        <v>330</v>
      </c>
      <c r="L500" s="62" t="s">
        <v>330</v>
      </c>
    </row>
    <row r="501" spans="1:12" x14ac:dyDescent="0.25">
      <c r="A501" s="57" t="s">
        <v>908</v>
      </c>
      <c r="B501" s="58" t="s">
        <v>211</v>
      </c>
      <c r="C501" s="58"/>
      <c r="D501" s="58" t="s">
        <v>332</v>
      </c>
      <c r="E501" s="58" t="s">
        <v>903</v>
      </c>
      <c r="F501" s="58"/>
      <c r="G501" s="65" t="s">
        <v>330</v>
      </c>
      <c r="H501" s="59">
        <v>0</v>
      </c>
      <c r="I501" s="60">
        <v>0</v>
      </c>
      <c r="J501" s="59">
        <v>0</v>
      </c>
      <c r="K501" s="61" t="s">
        <v>330</v>
      </c>
      <c r="L501" s="62" t="s">
        <v>330</v>
      </c>
    </row>
    <row r="502" spans="1:12" x14ac:dyDescent="0.25">
      <c r="A502" s="57" t="s">
        <v>209</v>
      </c>
      <c r="B502" s="58" t="s">
        <v>211</v>
      </c>
      <c r="C502" s="58" t="s">
        <v>907</v>
      </c>
      <c r="D502" s="58" t="s">
        <v>355</v>
      </c>
      <c r="E502" s="58" t="s">
        <v>906</v>
      </c>
      <c r="F502" s="58" t="s">
        <v>905</v>
      </c>
      <c r="G502" s="58">
        <v>0.99029999999999996</v>
      </c>
      <c r="H502" s="59">
        <v>11046611.98</v>
      </c>
      <c r="I502" s="60">
        <v>10939879.390000001</v>
      </c>
      <c r="J502" s="59">
        <v>106732.58999999985</v>
      </c>
      <c r="K502" s="63">
        <v>44663</v>
      </c>
      <c r="L502" s="64">
        <v>45507</v>
      </c>
    </row>
    <row r="503" spans="1:12" x14ac:dyDescent="0.25">
      <c r="A503" s="57" t="s">
        <v>212</v>
      </c>
      <c r="B503" s="58" t="s">
        <v>211</v>
      </c>
      <c r="C503" s="58" t="s">
        <v>904</v>
      </c>
      <c r="D503" s="58" t="s">
        <v>7</v>
      </c>
      <c r="E503" s="58" t="s">
        <v>903</v>
      </c>
      <c r="F503" s="58" t="s">
        <v>716</v>
      </c>
      <c r="G503" s="58">
        <v>0.80790000000000006</v>
      </c>
      <c r="H503" s="59">
        <v>2755604.93</v>
      </c>
      <c r="I503" s="60">
        <v>2226331.4500000002</v>
      </c>
      <c r="J503" s="59">
        <v>529273.48</v>
      </c>
      <c r="K503" s="63">
        <v>45026</v>
      </c>
      <c r="L503" s="64">
        <v>46023</v>
      </c>
    </row>
    <row r="504" spans="1:12" x14ac:dyDescent="0.25">
      <c r="A504" s="57" t="s">
        <v>902</v>
      </c>
      <c r="B504" s="58" t="s">
        <v>211</v>
      </c>
      <c r="C504" s="58" t="s">
        <v>901</v>
      </c>
      <c r="D504" s="58" t="s">
        <v>426</v>
      </c>
      <c r="E504" s="58" t="s">
        <v>900</v>
      </c>
      <c r="F504" s="58" t="s">
        <v>716</v>
      </c>
      <c r="G504" s="58">
        <v>0</v>
      </c>
      <c r="H504" s="59">
        <v>1712576.84</v>
      </c>
      <c r="I504" s="60">
        <v>0</v>
      </c>
      <c r="J504" s="59">
        <v>1712576.84</v>
      </c>
      <c r="K504" s="63">
        <v>44823</v>
      </c>
      <c r="L504" s="64">
        <v>44706</v>
      </c>
    </row>
    <row r="505" spans="1:12" x14ac:dyDescent="0.25">
      <c r="A505" s="57" t="s">
        <v>899</v>
      </c>
      <c r="B505" s="58" t="s">
        <v>211</v>
      </c>
      <c r="C505" s="58"/>
      <c r="D505" s="58" t="s">
        <v>367</v>
      </c>
      <c r="E505" s="58" t="s">
        <v>898</v>
      </c>
      <c r="F505" s="58" t="s">
        <v>897</v>
      </c>
      <c r="G505" s="58">
        <v>0</v>
      </c>
      <c r="H505" s="59">
        <v>10150052.859999999</v>
      </c>
      <c r="I505" s="60">
        <v>0</v>
      </c>
      <c r="J505" s="59">
        <v>10150052.859999999</v>
      </c>
      <c r="K505" s="61" t="s">
        <v>330</v>
      </c>
      <c r="L505" s="62" t="s">
        <v>330</v>
      </c>
    </row>
    <row r="506" spans="1:12" x14ac:dyDescent="0.25">
      <c r="A506" s="57" t="s">
        <v>896</v>
      </c>
      <c r="B506" s="58" t="s">
        <v>211</v>
      </c>
      <c r="C506" s="58"/>
      <c r="D506" s="58" t="s">
        <v>339</v>
      </c>
      <c r="E506" s="58" t="s">
        <v>895</v>
      </c>
      <c r="F506" s="58" t="s">
        <v>337</v>
      </c>
      <c r="G506" s="58">
        <v>0</v>
      </c>
      <c r="H506" s="59">
        <v>10829165.449999999</v>
      </c>
      <c r="I506" s="60">
        <v>0</v>
      </c>
      <c r="J506" s="59">
        <v>10829165.449999999</v>
      </c>
      <c r="K506" s="61" t="s">
        <v>330</v>
      </c>
      <c r="L506" s="62" t="s">
        <v>330</v>
      </c>
    </row>
    <row r="507" spans="1:12" x14ac:dyDescent="0.25">
      <c r="A507" s="57" t="s">
        <v>894</v>
      </c>
      <c r="B507" s="58" t="s">
        <v>211</v>
      </c>
      <c r="C507" s="58"/>
      <c r="D507" s="58" t="s">
        <v>332</v>
      </c>
      <c r="E507" s="58" t="s">
        <v>893</v>
      </c>
      <c r="F507" s="58" t="s">
        <v>337</v>
      </c>
      <c r="G507" s="65" t="s">
        <v>330</v>
      </c>
      <c r="H507" s="59">
        <v>24447888.210000001</v>
      </c>
      <c r="I507" s="60">
        <v>0</v>
      </c>
      <c r="J507" s="59">
        <v>24447888.210000001</v>
      </c>
      <c r="K507" s="61" t="s">
        <v>330</v>
      </c>
      <c r="L507" s="62" t="s">
        <v>330</v>
      </c>
    </row>
    <row r="508" spans="1:12" x14ac:dyDescent="0.25">
      <c r="A508" s="57" t="s">
        <v>892</v>
      </c>
      <c r="B508" s="58" t="s">
        <v>263</v>
      </c>
      <c r="C508" s="58"/>
      <c r="D508" s="58" t="s">
        <v>332</v>
      </c>
      <c r="E508" s="58" t="s">
        <v>891</v>
      </c>
      <c r="F508" s="58" t="s">
        <v>337</v>
      </c>
      <c r="G508" s="65" t="s">
        <v>330</v>
      </c>
      <c r="H508" s="59">
        <v>0</v>
      </c>
      <c r="I508" s="60">
        <v>0</v>
      </c>
      <c r="J508" s="59">
        <v>0</v>
      </c>
      <c r="K508" s="61" t="s">
        <v>330</v>
      </c>
      <c r="L508" s="62" t="s">
        <v>330</v>
      </c>
    </row>
    <row r="509" spans="1:12" x14ac:dyDescent="0.25">
      <c r="A509" s="57" t="s">
        <v>890</v>
      </c>
      <c r="B509" s="58" t="s">
        <v>263</v>
      </c>
      <c r="C509" s="58"/>
      <c r="D509" s="58" t="s">
        <v>332</v>
      </c>
      <c r="E509" s="58" t="s">
        <v>889</v>
      </c>
      <c r="F509" s="58" t="s">
        <v>337</v>
      </c>
      <c r="G509" s="58">
        <v>0</v>
      </c>
      <c r="H509" s="59">
        <v>0</v>
      </c>
      <c r="I509" s="60">
        <v>0</v>
      </c>
      <c r="J509" s="59">
        <v>0</v>
      </c>
      <c r="K509" s="61" t="s">
        <v>330</v>
      </c>
      <c r="L509" s="62" t="s">
        <v>330</v>
      </c>
    </row>
    <row r="510" spans="1:12" x14ac:dyDescent="0.25">
      <c r="A510" s="57" t="s">
        <v>262</v>
      </c>
      <c r="B510" s="58" t="s">
        <v>263</v>
      </c>
      <c r="C510" s="58" t="s">
        <v>888</v>
      </c>
      <c r="D510" s="58" t="s">
        <v>355</v>
      </c>
      <c r="E510" s="58" t="s">
        <v>887</v>
      </c>
      <c r="F510" s="58" t="s">
        <v>264</v>
      </c>
      <c r="G510" s="58">
        <v>0.9998999999999999</v>
      </c>
      <c r="H510" s="59">
        <v>1612154.63</v>
      </c>
      <c r="I510" s="60">
        <v>1612024.85</v>
      </c>
      <c r="J510" s="59">
        <v>129.77999999979511</v>
      </c>
      <c r="K510" s="63">
        <v>45776</v>
      </c>
      <c r="L510" s="64">
        <v>45986</v>
      </c>
    </row>
    <row r="511" spans="1:12" x14ac:dyDescent="0.25">
      <c r="A511" s="57" t="s">
        <v>886</v>
      </c>
      <c r="B511" s="58" t="s">
        <v>263</v>
      </c>
      <c r="C511" s="58"/>
      <c r="D511" s="58" t="s">
        <v>332</v>
      </c>
      <c r="E511" s="58" t="s">
        <v>885</v>
      </c>
      <c r="F511" s="58" t="s">
        <v>337</v>
      </c>
      <c r="G511" s="58">
        <v>0</v>
      </c>
      <c r="H511" s="59">
        <v>1523147.01</v>
      </c>
      <c r="I511" s="60">
        <v>0</v>
      </c>
      <c r="J511" s="59">
        <v>1523147.01</v>
      </c>
      <c r="K511" s="61" t="s">
        <v>330</v>
      </c>
      <c r="L511" s="62" t="s">
        <v>330</v>
      </c>
    </row>
    <row r="512" spans="1:12" x14ac:dyDescent="0.25">
      <c r="A512" s="57" t="s">
        <v>884</v>
      </c>
      <c r="B512" s="58" t="s">
        <v>263</v>
      </c>
      <c r="C512" s="58"/>
      <c r="D512" s="58" t="s">
        <v>332</v>
      </c>
      <c r="E512" s="58" t="s">
        <v>883</v>
      </c>
      <c r="F512" s="58" t="s">
        <v>337</v>
      </c>
      <c r="G512" s="58">
        <v>0</v>
      </c>
      <c r="H512" s="59">
        <v>1527056.1</v>
      </c>
      <c r="I512" s="60">
        <v>0</v>
      </c>
      <c r="J512" s="59">
        <v>1527056.1</v>
      </c>
      <c r="K512" s="61" t="s">
        <v>330</v>
      </c>
      <c r="L512" s="62" t="s">
        <v>330</v>
      </c>
    </row>
    <row r="513" spans="1:12" x14ac:dyDescent="0.25">
      <c r="A513" s="57" t="s">
        <v>882</v>
      </c>
      <c r="B513" s="58" t="s">
        <v>96</v>
      </c>
      <c r="C513" s="58" t="s">
        <v>881</v>
      </c>
      <c r="D513" s="58" t="s">
        <v>355</v>
      </c>
      <c r="E513" s="58" t="s">
        <v>880</v>
      </c>
      <c r="F513" s="58" t="s">
        <v>879</v>
      </c>
      <c r="G513" s="58">
        <v>1</v>
      </c>
      <c r="H513" s="59">
        <v>6453162.7199999997</v>
      </c>
      <c r="I513" s="60">
        <v>6453162.7199999997</v>
      </c>
      <c r="J513" s="59">
        <v>0</v>
      </c>
      <c r="K513" s="63">
        <v>44760</v>
      </c>
      <c r="L513" s="64">
        <v>45201</v>
      </c>
    </row>
    <row r="514" spans="1:12" x14ac:dyDescent="0.25">
      <c r="A514" s="57" t="s">
        <v>214</v>
      </c>
      <c r="B514" s="58" t="s">
        <v>96</v>
      </c>
      <c r="C514" s="58" t="s">
        <v>878</v>
      </c>
      <c r="D514" s="58" t="s">
        <v>7</v>
      </c>
      <c r="E514" s="58" t="s">
        <v>877</v>
      </c>
      <c r="F514" s="58" t="s">
        <v>871</v>
      </c>
      <c r="G514" s="58">
        <v>0.99930000000000008</v>
      </c>
      <c r="H514" s="59">
        <v>1741703.69</v>
      </c>
      <c r="I514" s="60">
        <v>1740561.74</v>
      </c>
      <c r="J514" s="59">
        <v>1141.9499999999534</v>
      </c>
      <c r="K514" s="63">
        <v>44683</v>
      </c>
      <c r="L514" s="64">
        <v>45889</v>
      </c>
    </row>
    <row r="515" spans="1:12" x14ac:dyDescent="0.25">
      <c r="A515" s="57" t="s">
        <v>114</v>
      </c>
      <c r="B515" s="58" t="s">
        <v>96</v>
      </c>
      <c r="C515" s="58" t="s">
        <v>418</v>
      </c>
      <c r="D515" s="58" t="s">
        <v>355</v>
      </c>
      <c r="E515" s="58" t="s">
        <v>876</v>
      </c>
      <c r="F515" s="58" t="s">
        <v>873</v>
      </c>
      <c r="G515" s="58">
        <v>0.997</v>
      </c>
      <c r="H515" s="59">
        <v>6014775.7699999996</v>
      </c>
      <c r="I515" s="60">
        <v>5996889.6799999997</v>
      </c>
      <c r="J515" s="59">
        <v>17886.089999999851</v>
      </c>
      <c r="K515" s="63">
        <v>44708</v>
      </c>
      <c r="L515" s="64">
        <v>45467</v>
      </c>
    </row>
    <row r="516" spans="1:12" x14ac:dyDescent="0.25">
      <c r="A516" s="57" t="s">
        <v>127</v>
      </c>
      <c r="B516" s="58" t="s">
        <v>96</v>
      </c>
      <c r="C516" s="58" t="s">
        <v>875</v>
      </c>
      <c r="D516" s="58" t="s">
        <v>426</v>
      </c>
      <c r="E516" s="58" t="s">
        <v>874</v>
      </c>
      <c r="F516" s="58" t="s">
        <v>873</v>
      </c>
      <c r="G516" s="58">
        <v>0.99129999999999996</v>
      </c>
      <c r="H516" s="59">
        <v>3569195.39</v>
      </c>
      <c r="I516" s="60">
        <v>3538001.16</v>
      </c>
      <c r="J516" s="59">
        <v>31194.229999999981</v>
      </c>
      <c r="K516" s="63">
        <v>44658</v>
      </c>
      <c r="L516" s="64">
        <v>45426</v>
      </c>
    </row>
    <row r="517" spans="1:12" x14ac:dyDescent="0.25">
      <c r="A517" s="57" t="s">
        <v>215</v>
      </c>
      <c r="B517" s="58" t="s">
        <v>96</v>
      </c>
      <c r="C517" s="58" t="s">
        <v>657</v>
      </c>
      <c r="D517" s="58" t="s">
        <v>7</v>
      </c>
      <c r="E517" s="58" t="s">
        <v>872</v>
      </c>
      <c r="F517" s="58" t="s">
        <v>871</v>
      </c>
      <c r="G517" s="58">
        <v>0.79930000000000012</v>
      </c>
      <c r="H517" s="59">
        <v>1528883.61</v>
      </c>
      <c r="I517" s="60">
        <v>1222003.4099999999</v>
      </c>
      <c r="J517" s="59">
        <v>306880.20000000019</v>
      </c>
      <c r="K517" s="63">
        <v>44655</v>
      </c>
      <c r="L517" s="64">
        <v>46164</v>
      </c>
    </row>
    <row r="518" spans="1:12" x14ac:dyDescent="0.25">
      <c r="A518" s="57" t="s">
        <v>870</v>
      </c>
      <c r="B518" s="58" t="s">
        <v>96</v>
      </c>
      <c r="C518" s="58"/>
      <c r="D518" s="58" t="s">
        <v>332</v>
      </c>
      <c r="E518" s="58" t="s">
        <v>869</v>
      </c>
      <c r="F518" s="58" t="s">
        <v>337</v>
      </c>
      <c r="G518" s="58">
        <v>0</v>
      </c>
      <c r="H518" s="59">
        <v>472555.88</v>
      </c>
      <c r="I518" s="60">
        <v>0</v>
      </c>
      <c r="J518" s="59">
        <v>472555.88</v>
      </c>
      <c r="K518" s="61" t="s">
        <v>330</v>
      </c>
      <c r="L518" s="62" t="s">
        <v>330</v>
      </c>
    </row>
    <row r="519" spans="1:12" x14ac:dyDescent="0.25">
      <c r="A519" s="57" t="s">
        <v>95</v>
      </c>
      <c r="B519" s="58" t="s">
        <v>96</v>
      </c>
      <c r="C519" s="58" t="s">
        <v>868</v>
      </c>
      <c r="D519" s="58" t="s">
        <v>426</v>
      </c>
      <c r="E519" s="58" t="s">
        <v>867</v>
      </c>
      <c r="F519" s="58" t="s">
        <v>866</v>
      </c>
      <c r="G519" s="58">
        <v>2.4500000000000001E-2</v>
      </c>
      <c r="H519" s="59">
        <v>2317778.2200000002</v>
      </c>
      <c r="I519" s="60">
        <v>56828.03</v>
      </c>
      <c r="J519" s="59">
        <v>2260950.1900000004</v>
      </c>
      <c r="K519" s="63">
        <v>45035</v>
      </c>
      <c r="L519" s="64">
        <v>45396</v>
      </c>
    </row>
    <row r="520" spans="1:12" x14ac:dyDescent="0.25">
      <c r="A520" s="57" t="s">
        <v>865</v>
      </c>
      <c r="B520" s="58" t="s">
        <v>96</v>
      </c>
      <c r="C520" s="58"/>
      <c r="D520" s="58" t="s">
        <v>332</v>
      </c>
      <c r="E520" s="58" t="s">
        <v>864</v>
      </c>
      <c r="F520" s="58" t="s">
        <v>337</v>
      </c>
      <c r="G520" s="58">
        <v>0</v>
      </c>
      <c r="H520" s="59">
        <v>3327243.84</v>
      </c>
      <c r="I520" s="60">
        <v>0</v>
      </c>
      <c r="J520" s="59">
        <v>3327243.84</v>
      </c>
      <c r="K520" s="61" t="s">
        <v>330</v>
      </c>
      <c r="L520" s="62" t="s">
        <v>330</v>
      </c>
    </row>
    <row r="521" spans="1:12" x14ac:dyDescent="0.25">
      <c r="A521" s="57" t="s">
        <v>863</v>
      </c>
      <c r="B521" s="58" t="s">
        <v>96</v>
      </c>
      <c r="C521" s="58"/>
      <c r="D521" s="58" t="s">
        <v>332</v>
      </c>
      <c r="E521" s="58" t="s">
        <v>862</v>
      </c>
      <c r="F521" s="58" t="s">
        <v>337</v>
      </c>
      <c r="G521" s="58">
        <v>0</v>
      </c>
      <c r="H521" s="59">
        <v>4634253</v>
      </c>
      <c r="I521" s="60">
        <v>0</v>
      </c>
      <c r="J521" s="59">
        <v>4634253</v>
      </c>
      <c r="K521" s="61" t="s">
        <v>330</v>
      </c>
      <c r="L521" s="62" t="s">
        <v>330</v>
      </c>
    </row>
    <row r="522" spans="1:12" x14ac:dyDescent="0.25">
      <c r="A522" s="57" t="s">
        <v>861</v>
      </c>
      <c r="B522" s="58" t="s">
        <v>96</v>
      </c>
      <c r="C522" s="58"/>
      <c r="D522" s="58" t="s">
        <v>332</v>
      </c>
      <c r="E522" s="58" t="s">
        <v>860</v>
      </c>
      <c r="F522" s="58" t="s">
        <v>337</v>
      </c>
      <c r="G522" s="58">
        <v>0</v>
      </c>
      <c r="H522" s="59">
        <v>5025656.6500000004</v>
      </c>
      <c r="I522" s="60">
        <v>0</v>
      </c>
      <c r="J522" s="59">
        <v>5025656.6500000004</v>
      </c>
      <c r="K522" s="61" t="s">
        <v>330</v>
      </c>
      <c r="L522" s="62" t="s">
        <v>330</v>
      </c>
    </row>
    <row r="523" spans="1:12" x14ac:dyDescent="0.25">
      <c r="A523" s="57" t="s">
        <v>859</v>
      </c>
      <c r="B523" s="58" t="s">
        <v>96</v>
      </c>
      <c r="C523" s="58"/>
      <c r="D523" s="58" t="s">
        <v>332</v>
      </c>
      <c r="E523" s="58" t="s">
        <v>858</v>
      </c>
      <c r="F523" s="58" t="s">
        <v>337</v>
      </c>
      <c r="G523" s="58">
        <v>0</v>
      </c>
      <c r="H523" s="59">
        <v>7614644.9100000001</v>
      </c>
      <c r="I523" s="60">
        <v>0</v>
      </c>
      <c r="J523" s="59">
        <v>7614644.9100000001</v>
      </c>
      <c r="K523" s="61" t="s">
        <v>330</v>
      </c>
      <c r="L523" s="62" t="s">
        <v>330</v>
      </c>
    </row>
    <row r="524" spans="1:12" x14ac:dyDescent="0.25">
      <c r="A524" s="57" t="s">
        <v>857</v>
      </c>
      <c r="B524" s="58" t="s">
        <v>96</v>
      </c>
      <c r="C524" s="58"/>
      <c r="D524" s="58" t="s">
        <v>332</v>
      </c>
      <c r="E524" s="58" t="s">
        <v>856</v>
      </c>
      <c r="F524" s="58" t="s">
        <v>337</v>
      </c>
      <c r="G524" s="58">
        <v>0</v>
      </c>
      <c r="H524" s="59">
        <v>7692662.2300000004</v>
      </c>
      <c r="I524" s="60">
        <v>0</v>
      </c>
      <c r="J524" s="59">
        <v>7692662.2300000004</v>
      </c>
      <c r="K524" s="61" t="s">
        <v>330</v>
      </c>
      <c r="L524" s="62" t="s">
        <v>330</v>
      </c>
    </row>
    <row r="525" spans="1:12" x14ac:dyDescent="0.25">
      <c r="A525" s="57" t="s">
        <v>855</v>
      </c>
      <c r="B525" s="58" t="s">
        <v>96</v>
      </c>
      <c r="C525" s="58"/>
      <c r="D525" s="58" t="s">
        <v>332</v>
      </c>
      <c r="E525" s="58" t="s">
        <v>854</v>
      </c>
      <c r="F525" s="58" t="s">
        <v>337</v>
      </c>
      <c r="G525" s="58">
        <v>0</v>
      </c>
      <c r="H525" s="59">
        <v>11264620.59</v>
      </c>
      <c r="I525" s="60">
        <v>0</v>
      </c>
      <c r="J525" s="59">
        <v>11264620.59</v>
      </c>
      <c r="K525" s="61" t="s">
        <v>330</v>
      </c>
      <c r="L525" s="62" t="s">
        <v>330</v>
      </c>
    </row>
    <row r="526" spans="1:12" x14ac:dyDescent="0.25">
      <c r="A526" s="57" t="s">
        <v>853</v>
      </c>
      <c r="B526" s="58" t="s">
        <v>96</v>
      </c>
      <c r="C526" s="58"/>
      <c r="D526" s="58" t="s">
        <v>332</v>
      </c>
      <c r="E526" s="58" t="s">
        <v>852</v>
      </c>
      <c r="F526" s="58" t="s">
        <v>337</v>
      </c>
      <c r="G526" s="58">
        <v>0</v>
      </c>
      <c r="H526" s="59">
        <v>11607169.810000001</v>
      </c>
      <c r="I526" s="60">
        <v>0</v>
      </c>
      <c r="J526" s="59">
        <v>11607169.810000001</v>
      </c>
      <c r="K526" s="61" t="s">
        <v>330</v>
      </c>
      <c r="L526" s="62" t="s">
        <v>330</v>
      </c>
    </row>
    <row r="527" spans="1:12" x14ac:dyDescent="0.25">
      <c r="A527" s="57" t="s">
        <v>230</v>
      </c>
      <c r="B527" s="58" t="s">
        <v>124</v>
      </c>
      <c r="C527" s="58" t="s">
        <v>851</v>
      </c>
      <c r="D527" s="58" t="s">
        <v>7</v>
      </c>
      <c r="E527" s="58" t="s">
        <v>850</v>
      </c>
      <c r="F527" s="58" t="s">
        <v>429</v>
      </c>
      <c r="G527" s="58">
        <v>1</v>
      </c>
      <c r="H527" s="59">
        <v>6478069.4299999997</v>
      </c>
      <c r="I527" s="60">
        <v>6478029.4400000004</v>
      </c>
      <c r="J527" s="59">
        <v>39.989999999292195</v>
      </c>
      <c r="K527" s="63">
        <v>44827</v>
      </c>
      <c r="L527" s="64">
        <v>45690</v>
      </c>
    </row>
    <row r="528" spans="1:12" x14ac:dyDescent="0.25">
      <c r="A528" s="57" t="s">
        <v>123</v>
      </c>
      <c r="B528" s="58" t="s">
        <v>124</v>
      </c>
      <c r="C528" s="58" t="s">
        <v>849</v>
      </c>
      <c r="D528" s="58" t="s">
        <v>7</v>
      </c>
      <c r="E528" s="58" t="s">
        <v>848</v>
      </c>
      <c r="F528" s="58" t="s">
        <v>841</v>
      </c>
      <c r="G528" s="58">
        <v>0.78090000000000004</v>
      </c>
      <c r="H528" s="59">
        <v>544550.48</v>
      </c>
      <c r="I528" s="60">
        <v>425261.4</v>
      </c>
      <c r="J528" s="59">
        <v>119289.07999999996</v>
      </c>
      <c r="K528" s="63">
        <v>45925</v>
      </c>
      <c r="L528" s="64">
        <v>46165</v>
      </c>
    </row>
    <row r="529" spans="1:12" x14ac:dyDescent="0.25">
      <c r="A529" s="57" t="s">
        <v>847</v>
      </c>
      <c r="B529" s="58" t="s">
        <v>124</v>
      </c>
      <c r="C529" s="58"/>
      <c r="D529" s="58" t="s">
        <v>339</v>
      </c>
      <c r="E529" s="58" t="s">
        <v>846</v>
      </c>
      <c r="F529" s="58" t="s">
        <v>337</v>
      </c>
      <c r="G529" s="65" t="s">
        <v>330</v>
      </c>
      <c r="H529" s="59">
        <v>628840.03</v>
      </c>
      <c r="I529" s="60">
        <v>0</v>
      </c>
      <c r="J529" s="59">
        <v>628840.03</v>
      </c>
      <c r="K529" s="61" t="s">
        <v>330</v>
      </c>
      <c r="L529" s="62" t="s">
        <v>330</v>
      </c>
    </row>
    <row r="530" spans="1:12" x14ac:dyDescent="0.25">
      <c r="A530" s="57" t="s">
        <v>845</v>
      </c>
      <c r="B530" s="58" t="s">
        <v>124</v>
      </c>
      <c r="C530" s="58"/>
      <c r="D530" s="58" t="s">
        <v>367</v>
      </c>
      <c r="E530" s="58" t="s">
        <v>844</v>
      </c>
      <c r="F530" s="58" t="s">
        <v>337</v>
      </c>
      <c r="G530" s="58">
        <v>0</v>
      </c>
      <c r="H530" s="59">
        <v>1509457.9199999999</v>
      </c>
      <c r="I530" s="60">
        <v>0</v>
      </c>
      <c r="J530" s="59">
        <v>1509457.9199999999</v>
      </c>
      <c r="K530" s="61" t="s">
        <v>330</v>
      </c>
      <c r="L530" s="62" t="s">
        <v>330</v>
      </c>
    </row>
    <row r="531" spans="1:12" x14ac:dyDescent="0.25">
      <c r="A531" s="57" t="s">
        <v>843</v>
      </c>
      <c r="B531" s="58" t="s">
        <v>124</v>
      </c>
      <c r="C531" s="58"/>
      <c r="D531" s="58" t="s">
        <v>440</v>
      </c>
      <c r="E531" s="58" t="s">
        <v>842</v>
      </c>
      <c r="F531" s="58" t="s">
        <v>841</v>
      </c>
      <c r="G531" s="58">
        <v>0</v>
      </c>
      <c r="H531" s="59">
        <v>1698546.48</v>
      </c>
      <c r="I531" s="60">
        <v>0</v>
      </c>
      <c r="J531" s="59">
        <v>1698546.48</v>
      </c>
      <c r="K531" s="61" t="s">
        <v>330</v>
      </c>
      <c r="L531" s="62" t="s">
        <v>330</v>
      </c>
    </row>
    <row r="532" spans="1:12" x14ac:dyDescent="0.25">
      <c r="A532" s="57" t="s">
        <v>840</v>
      </c>
      <c r="B532" s="58" t="s">
        <v>124</v>
      </c>
      <c r="C532" s="58"/>
      <c r="D532" s="58" t="s">
        <v>332</v>
      </c>
      <c r="E532" s="58" t="s">
        <v>839</v>
      </c>
      <c r="F532" s="58" t="s">
        <v>337</v>
      </c>
      <c r="G532" s="58">
        <v>0</v>
      </c>
      <c r="H532" s="59">
        <v>4054537.82</v>
      </c>
      <c r="I532" s="60">
        <v>0</v>
      </c>
      <c r="J532" s="59">
        <v>4054537.82</v>
      </c>
      <c r="K532" s="61" t="s">
        <v>330</v>
      </c>
      <c r="L532" s="62" t="s">
        <v>330</v>
      </c>
    </row>
    <row r="533" spans="1:12" x14ac:dyDescent="0.25">
      <c r="A533" s="57" t="s">
        <v>838</v>
      </c>
      <c r="B533" s="58" t="s">
        <v>124</v>
      </c>
      <c r="C533" s="58"/>
      <c r="D533" s="58" t="s">
        <v>332</v>
      </c>
      <c r="E533" s="58" t="s">
        <v>837</v>
      </c>
      <c r="F533" s="58" t="s">
        <v>337</v>
      </c>
      <c r="G533" s="58">
        <v>0</v>
      </c>
      <c r="H533" s="59">
        <v>4533168.88</v>
      </c>
      <c r="I533" s="60">
        <v>0</v>
      </c>
      <c r="J533" s="59">
        <v>4533168.88</v>
      </c>
      <c r="K533" s="61" t="s">
        <v>330</v>
      </c>
      <c r="L533" s="62" t="s">
        <v>330</v>
      </c>
    </row>
    <row r="534" spans="1:12" x14ac:dyDescent="0.25">
      <c r="A534" s="57" t="s">
        <v>836</v>
      </c>
      <c r="B534" s="58" t="s">
        <v>829</v>
      </c>
      <c r="C534" s="58"/>
      <c r="D534" s="58" t="s">
        <v>332</v>
      </c>
      <c r="E534" s="58" t="s">
        <v>835</v>
      </c>
      <c r="F534" s="58" t="s">
        <v>337</v>
      </c>
      <c r="G534" s="58">
        <v>0</v>
      </c>
      <c r="H534" s="59">
        <v>0</v>
      </c>
      <c r="I534" s="60">
        <v>0</v>
      </c>
      <c r="J534" s="59">
        <v>0</v>
      </c>
      <c r="K534" s="61" t="s">
        <v>330</v>
      </c>
      <c r="L534" s="62" t="s">
        <v>330</v>
      </c>
    </row>
    <row r="535" spans="1:12" x14ac:dyDescent="0.25">
      <c r="A535" s="57" t="s">
        <v>834</v>
      </c>
      <c r="B535" s="58" t="s">
        <v>829</v>
      </c>
      <c r="C535" s="58"/>
      <c r="D535" s="58" t="s">
        <v>339</v>
      </c>
      <c r="E535" s="58" t="s">
        <v>833</v>
      </c>
      <c r="F535" s="58" t="s">
        <v>337</v>
      </c>
      <c r="G535" s="58">
        <v>0</v>
      </c>
      <c r="H535" s="59">
        <v>7078028.8600000003</v>
      </c>
      <c r="I535" s="60">
        <v>0</v>
      </c>
      <c r="J535" s="59">
        <v>7078028.8600000003</v>
      </c>
      <c r="K535" s="61" t="s">
        <v>330</v>
      </c>
      <c r="L535" s="62" t="s">
        <v>330</v>
      </c>
    </row>
    <row r="536" spans="1:12" x14ac:dyDescent="0.25">
      <c r="A536" s="57" t="s">
        <v>832</v>
      </c>
      <c r="B536" s="58" t="s">
        <v>829</v>
      </c>
      <c r="C536" s="58"/>
      <c r="D536" s="58" t="s">
        <v>367</v>
      </c>
      <c r="E536" s="58" t="s">
        <v>831</v>
      </c>
      <c r="F536" s="58" t="s">
        <v>337</v>
      </c>
      <c r="G536" s="58">
        <v>0</v>
      </c>
      <c r="H536" s="59">
        <v>15406090</v>
      </c>
      <c r="I536" s="60">
        <v>0</v>
      </c>
      <c r="J536" s="59">
        <v>15406090</v>
      </c>
      <c r="K536" s="61" t="s">
        <v>330</v>
      </c>
      <c r="L536" s="62" t="s">
        <v>330</v>
      </c>
    </row>
    <row r="537" spans="1:12" x14ac:dyDescent="0.25">
      <c r="A537" s="57" t="s">
        <v>830</v>
      </c>
      <c r="B537" s="58" t="s">
        <v>829</v>
      </c>
      <c r="C537" s="58"/>
      <c r="D537" s="58" t="s">
        <v>332</v>
      </c>
      <c r="E537" s="58" t="s">
        <v>828</v>
      </c>
      <c r="F537" s="58" t="s">
        <v>337</v>
      </c>
      <c r="G537" s="58">
        <v>0</v>
      </c>
      <c r="H537" s="59">
        <v>27977444</v>
      </c>
      <c r="I537" s="60">
        <v>0</v>
      </c>
      <c r="J537" s="59">
        <v>27977444</v>
      </c>
      <c r="K537" s="61" t="s">
        <v>330</v>
      </c>
      <c r="L537" s="62" t="s">
        <v>330</v>
      </c>
    </row>
    <row r="538" spans="1:12" x14ac:dyDescent="0.25">
      <c r="A538" s="57" t="s">
        <v>827</v>
      </c>
      <c r="B538" s="58" t="s">
        <v>108</v>
      </c>
      <c r="C538" s="58" t="s">
        <v>826</v>
      </c>
      <c r="D538" s="58" t="s">
        <v>355</v>
      </c>
      <c r="E538" s="58" t="s">
        <v>825</v>
      </c>
      <c r="F538" s="58" t="s">
        <v>109</v>
      </c>
      <c r="G538" s="58">
        <v>1</v>
      </c>
      <c r="H538" s="59">
        <v>2389346</v>
      </c>
      <c r="I538" s="60">
        <v>2389346</v>
      </c>
      <c r="J538" s="59">
        <v>0</v>
      </c>
      <c r="K538" s="63">
        <v>44693</v>
      </c>
      <c r="L538" s="64">
        <v>45456</v>
      </c>
    </row>
    <row r="539" spans="1:12" x14ac:dyDescent="0.25">
      <c r="A539" s="57" t="s">
        <v>824</v>
      </c>
      <c r="B539" s="58" t="s">
        <v>108</v>
      </c>
      <c r="C539" s="58"/>
      <c r="D539" s="58" t="s">
        <v>339</v>
      </c>
      <c r="E539" s="58" t="s">
        <v>823</v>
      </c>
      <c r="F539" s="58" t="s">
        <v>337</v>
      </c>
      <c r="G539" s="65" t="s">
        <v>330</v>
      </c>
      <c r="H539" s="59">
        <v>0</v>
      </c>
      <c r="I539" s="60">
        <v>0</v>
      </c>
      <c r="J539" s="59">
        <v>0</v>
      </c>
      <c r="K539" s="61" t="s">
        <v>330</v>
      </c>
      <c r="L539" s="62" t="s">
        <v>330</v>
      </c>
    </row>
    <row r="540" spans="1:12" x14ac:dyDescent="0.25">
      <c r="A540" s="57" t="s">
        <v>822</v>
      </c>
      <c r="B540" s="58" t="s">
        <v>108</v>
      </c>
      <c r="C540" s="58"/>
      <c r="D540" s="58" t="s">
        <v>339</v>
      </c>
      <c r="E540" s="58" t="s">
        <v>821</v>
      </c>
      <c r="F540" s="58" t="s">
        <v>337</v>
      </c>
      <c r="G540" s="58">
        <v>0</v>
      </c>
      <c r="H540" s="59">
        <v>0</v>
      </c>
      <c r="I540" s="60">
        <v>0</v>
      </c>
      <c r="J540" s="59">
        <v>0</v>
      </c>
      <c r="K540" s="61" t="s">
        <v>330</v>
      </c>
      <c r="L540" s="62" t="s">
        <v>330</v>
      </c>
    </row>
    <row r="541" spans="1:12" x14ac:dyDescent="0.25">
      <c r="A541" s="57" t="s">
        <v>820</v>
      </c>
      <c r="B541" s="58" t="s">
        <v>108</v>
      </c>
      <c r="C541" s="58"/>
      <c r="D541" s="58" t="s">
        <v>332</v>
      </c>
      <c r="E541" s="58" t="s">
        <v>819</v>
      </c>
      <c r="F541" s="58" t="s">
        <v>337</v>
      </c>
      <c r="G541" s="58">
        <v>0</v>
      </c>
      <c r="H541" s="59">
        <v>0</v>
      </c>
      <c r="I541" s="60">
        <v>0</v>
      </c>
      <c r="J541" s="59">
        <v>0</v>
      </c>
      <c r="K541" s="61" t="s">
        <v>330</v>
      </c>
      <c r="L541" s="62" t="s">
        <v>330</v>
      </c>
    </row>
    <row r="542" spans="1:12" x14ac:dyDescent="0.25">
      <c r="A542" s="57" t="s">
        <v>818</v>
      </c>
      <c r="B542" s="58" t="s">
        <v>108</v>
      </c>
      <c r="C542" s="58"/>
      <c r="D542" s="58" t="s">
        <v>332</v>
      </c>
      <c r="E542" s="58" t="s">
        <v>817</v>
      </c>
      <c r="F542" s="58" t="s">
        <v>337</v>
      </c>
      <c r="G542" s="58">
        <v>0</v>
      </c>
      <c r="H542" s="59">
        <v>0</v>
      </c>
      <c r="I542" s="60">
        <v>0</v>
      </c>
      <c r="J542" s="59">
        <v>0</v>
      </c>
      <c r="K542" s="61" t="s">
        <v>330</v>
      </c>
      <c r="L542" s="62" t="s">
        <v>330</v>
      </c>
    </row>
    <row r="543" spans="1:12" x14ac:dyDescent="0.25">
      <c r="A543" s="57" t="s">
        <v>816</v>
      </c>
      <c r="B543" s="58" t="s">
        <v>108</v>
      </c>
      <c r="C543" s="58"/>
      <c r="D543" s="58" t="s">
        <v>332</v>
      </c>
      <c r="E543" s="58" t="s">
        <v>815</v>
      </c>
      <c r="F543" s="58" t="s">
        <v>337</v>
      </c>
      <c r="G543" s="58">
        <v>0</v>
      </c>
      <c r="H543" s="59">
        <v>0</v>
      </c>
      <c r="I543" s="60">
        <v>0</v>
      </c>
      <c r="J543" s="59">
        <v>0</v>
      </c>
      <c r="K543" s="61" t="s">
        <v>330</v>
      </c>
      <c r="L543" s="62" t="s">
        <v>330</v>
      </c>
    </row>
    <row r="544" spans="1:12" x14ac:dyDescent="0.25">
      <c r="A544" s="57" t="s">
        <v>814</v>
      </c>
      <c r="B544" s="58" t="s">
        <v>108</v>
      </c>
      <c r="C544" s="58"/>
      <c r="D544" s="58" t="s">
        <v>332</v>
      </c>
      <c r="E544" s="58" t="s">
        <v>813</v>
      </c>
      <c r="F544" s="58" t="s">
        <v>337</v>
      </c>
      <c r="G544" s="58">
        <v>0</v>
      </c>
      <c r="H544" s="59">
        <v>0</v>
      </c>
      <c r="I544" s="60">
        <v>0</v>
      </c>
      <c r="J544" s="59">
        <v>0</v>
      </c>
      <c r="K544" s="61" t="s">
        <v>330</v>
      </c>
      <c r="L544" s="62" t="s">
        <v>330</v>
      </c>
    </row>
    <row r="545" spans="1:12" x14ac:dyDescent="0.25">
      <c r="A545" s="57" t="s">
        <v>812</v>
      </c>
      <c r="B545" s="58" t="s">
        <v>108</v>
      </c>
      <c r="C545" s="58"/>
      <c r="D545" s="58" t="s">
        <v>332</v>
      </c>
      <c r="E545" s="58" t="s">
        <v>811</v>
      </c>
      <c r="F545" s="58" t="s">
        <v>337</v>
      </c>
      <c r="G545" s="58">
        <v>0</v>
      </c>
      <c r="H545" s="59">
        <v>0</v>
      </c>
      <c r="I545" s="60">
        <v>0</v>
      </c>
      <c r="J545" s="59">
        <v>0</v>
      </c>
      <c r="K545" s="61" t="s">
        <v>330</v>
      </c>
      <c r="L545" s="62" t="s">
        <v>330</v>
      </c>
    </row>
    <row r="546" spans="1:12" x14ac:dyDescent="0.25">
      <c r="A546" s="57" t="s">
        <v>810</v>
      </c>
      <c r="B546" s="58" t="s">
        <v>108</v>
      </c>
      <c r="C546" s="58"/>
      <c r="D546" s="58" t="s">
        <v>332</v>
      </c>
      <c r="E546" s="58" t="s">
        <v>809</v>
      </c>
      <c r="F546" s="58" t="s">
        <v>337</v>
      </c>
      <c r="G546" s="58">
        <v>0</v>
      </c>
      <c r="H546" s="59">
        <v>0</v>
      </c>
      <c r="I546" s="60">
        <v>0</v>
      </c>
      <c r="J546" s="59">
        <v>0</v>
      </c>
      <c r="K546" s="61" t="s">
        <v>330</v>
      </c>
      <c r="L546" s="62" t="s">
        <v>330</v>
      </c>
    </row>
    <row r="547" spans="1:12" x14ac:dyDescent="0.25">
      <c r="A547" s="57" t="s">
        <v>808</v>
      </c>
      <c r="B547" s="58" t="s">
        <v>108</v>
      </c>
      <c r="C547" s="58"/>
      <c r="D547" s="58" t="s">
        <v>332</v>
      </c>
      <c r="E547" s="58" t="s">
        <v>807</v>
      </c>
      <c r="F547" s="58" t="s">
        <v>337</v>
      </c>
      <c r="G547" s="58">
        <v>0</v>
      </c>
      <c r="H547" s="59">
        <v>0</v>
      </c>
      <c r="I547" s="60">
        <v>0</v>
      </c>
      <c r="J547" s="59">
        <v>0</v>
      </c>
      <c r="K547" s="61" t="s">
        <v>330</v>
      </c>
      <c r="L547" s="62" t="s">
        <v>330</v>
      </c>
    </row>
    <row r="548" spans="1:12" x14ac:dyDescent="0.25">
      <c r="A548" s="57" t="s">
        <v>806</v>
      </c>
      <c r="B548" s="58" t="s">
        <v>108</v>
      </c>
      <c r="C548" s="58"/>
      <c r="D548" s="58" t="s">
        <v>332</v>
      </c>
      <c r="E548" s="58" t="s">
        <v>805</v>
      </c>
      <c r="F548" s="58" t="s">
        <v>337</v>
      </c>
      <c r="G548" s="58">
        <v>0</v>
      </c>
      <c r="H548" s="59">
        <v>0</v>
      </c>
      <c r="I548" s="60">
        <v>0</v>
      </c>
      <c r="J548" s="59">
        <v>0</v>
      </c>
      <c r="K548" s="61" t="s">
        <v>330</v>
      </c>
      <c r="L548" s="62" t="s">
        <v>330</v>
      </c>
    </row>
    <row r="549" spans="1:12" x14ac:dyDescent="0.25">
      <c r="A549" s="57" t="s">
        <v>804</v>
      </c>
      <c r="B549" s="58" t="s">
        <v>108</v>
      </c>
      <c r="C549" s="58"/>
      <c r="D549" s="58" t="s">
        <v>332</v>
      </c>
      <c r="E549" s="58" t="s">
        <v>803</v>
      </c>
      <c r="F549" s="58" t="s">
        <v>337</v>
      </c>
      <c r="G549" s="58">
        <v>0</v>
      </c>
      <c r="H549" s="59">
        <v>0</v>
      </c>
      <c r="I549" s="60">
        <v>0</v>
      </c>
      <c r="J549" s="59">
        <v>0</v>
      </c>
      <c r="K549" s="61" t="s">
        <v>330</v>
      </c>
      <c r="L549" s="62" t="s">
        <v>330</v>
      </c>
    </row>
    <row r="550" spans="1:12" x14ac:dyDescent="0.25">
      <c r="A550" s="57" t="s">
        <v>802</v>
      </c>
      <c r="B550" s="58" t="s">
        <v>108</v>
      </c>
      <c r="C550" s="58"/>
      <c r="D550" s="58" t="s">
        <v>332</v>
      </c>
      <c r="E550" s="58" t="s">
        <v>801</v>
      </c>
      <c r="F550" s="58" t="s">
        <v>337</v>
      </c>
      <c r="G550" s="58">
        <v>0</v>
      </c>
      <c r="H550" s="59">
        <v>0</v>
      </c>
      <c r="I550" s="60">
        <v>0</v>
      </c>
      <c r="J550" s="59">
        <v>0</v>
      </c>
      <c r="K550" s="61" t="s">
        <v>330</v>
      </c>
      <c r="L550" s="62" t="s">
        <v>330</v>
      </c>
    </row>
    <row r="551" spans="1:12" x14ac:dyDescent="0.25">
      <c r="A551" s="57" t="s">
        <v>800</v>
      </c>
      <c r="B551" s="58" t="s">
        <v>108</v>
      </c>
      <c r="C551" s="58"/>
      <c r="D551" s="58" t="s">
        <v>332</v>
      </c>
      <c r="E551" s="58" t="s">
        <v>799</v>
      </c>
      <c r="F551" s="58" t="s">
        <v>337</v>
      </c>
      <c r="G551" s="58">
        <v>0</v>
      </c>
      <c r="H551" s="59">
        <v>0</v>
      </c>
      <c r="I551" s="60">
        <v>0</v>
      </c>
      <c r="J551" s="59">
        <v>0</v>
      </c>
      <c r="K551" s="61" t="s">
        <v>330</v>
      </c>
      <c r="L551" s="62" t="s">
        <v>330</v>
      </c>
    </row>
    <row r="552" spans="1:12" x14ac:dyDescent="0.25">
      <c r="A552" s="57" t="s">
        <v>798</v>
      </c>
      <c r="B552" s="58" t="s">
        <v>108</v>
      </c>
      <c r="C552" s="58"/>
      <c r="D552" s="58" t="s">
        <v>332</v>
      </c>
      <c r="E552" s="58" t="s">
        <v>797</v>
      </c>
      <c r="F552" s="58" t="s">
        <v>337</v>
      </c>
      <c r="G552" s="58">
        <v>0</v>
      </c>
      <c r="H552" s="59">
        <v>0</v>
      </c>
      <c r="I552" s="60">
        <v>0</v>
      </c>
      <c r="J552" s="59">
        <v>0</v>
      </c>
      <c r="K552" s="61" t="s">
        <v>330</v>
      </c>
      <c r="L552" s="62" t="s">
        <v>330</v>
      </c>
    </row>
    <row r="553" spans="1:12" x14ac:dyDescent="0.25">
      <c r="A553" s="57" t="s">
        <v>796</v>
      </c>
      <c r="B553" s="58" t="s">
        <v>108</v>
      </c>
      <c r="C553" s="58"/>
      <c r="D553" s="58" t="s">
        <v>332</v>
      </c>
      <c r="E553" s="58" t="s">
        <v>795</v>
      </c>
      <c r="F553" s="58"/>
      <c r="G553" s="58">
        <v>0</v>
      </c>
      <c r="H553" s="59">
        <v>0</v>
      </c>
      <c r="I553" s="60">
        <v>0</v>
      </c>
      <c r="J553" s="59">
        <v>0</v>
      </c>
      <c r="K553" s="61" t="s">
        <v>330</v>
      </c>
      <c r="L553" s="62" t="s">
        <v>330</v>
      </c>
    </row>
    <row r="554" spans="1:12" x14ac:dyDescent="0.25">
      <c r="A554" s="57" t="s">
        <v>794</v>
      </c>
      <c r="B554" s="58" t="s">
        <v>108</v>
      </c>
      <c r="C554" s="58"/>
      <c r="D554" s="58" t="s">
        <v>332</v>
      </c>
      <c r="E554" s="58" t="s">
        <v>793</v>
      </c>
      <c r="F554" s="58" t="s">
        <v>337</v>
      </c>
      <c r="G554" s="58">
        <v>0</v>
      </c>
      <c r="H554" s="59">
        <v>0</v>
      </c>
      <c r="I554" s="60">
        <v>0</v>
      </c>
      <c r="J554" s="59">
        <v>0</v>
      </c>
      <c r="K554" s="61" t="s">
        <v>330</v>
      </c>
      <c r="L554" s="62" t="s">
        <v>330</v>
      </c>
    </row>
    <row r="555" spans="1:12" x14ac:dyDescent="0.25">
      <c r="A555" s="57" t="s">
        <v>792</v>
      </c>
      <c r="B555" s="58" t="s">
        <v>108</v>
      </c>
      <c r="C555" s="58"/>
      <c r="D555" s="58" t="s">
        <v>332</v>
      </c>
      <c r="E555" s="58" t="s">
        <v>791</v>
      </c>
      <c r="F555" s="58" t="s">
        <v>337</v>
      </c>
      <c r="G555" s="58">
        <v>0</v>
      </c>
      <c r="H555" s="59">
        <v>0</v>
      </c>
      <c r="I555" s="60">
        <v>0</v>
      </c>
      <c r="J555" s="59">
        <v>0</v>
      </c>
      <c r="K555" s="61" t="s">
        <v>330</v>
      </c>
      <c r="L555" s="62" t="s">
        <v>330</v>
      </c>
    </row>
    <row r="556" spans="1:12" x14ac:dyDescent="0.25">
      <c r="A556" s="57" t="s">
        <v>790</v>
      </c>
      <c r="B556" s="58" t="s">
        <v>108</v>
      </c>
      <c r="C556" s="58"/>
      <c r="D556" s="58" t="s">
        <v>332</v>
      </c>
      <c r="E556" s="58" t="s">
        <v>789</v>
      </c>
      <c r="F556" s="58" t="s">
        <v>337</v>
      </c>
      <c r="G556" s="58">
        <v>0</v>
      </c>
      <c r="H556" s="59">
        <v>0</v>
      </c>
      <c r="I556" s="60">
        <v>0</v>
      </c>
      <c r="J556" s="59">
        <v>0</v>
      </c>
      <c r="K556" s="61" t="s">
        <v>330</v>
      </c>
      <c r="L556" s="62" t="s">
        <v>330</v>
      </c>
    </row>
    <row r="557" spans="1:12" x14ac:dyDescent="0.25">
      <c r="A557" s="57" t="s">
        <v>788</v>
      </c>
      <c r="B557" s="58" t="s">
        <v>108</v>
      </c>
      <c r="C557" s="58"/>
      <c r="D557" s="58" t="s">
        <v>332</v>
      </c>
      <c r="E557" s="58" t="s">
        <v>787</v>
      </c>
      <c r="F557" s="58" t="s">
        <v>337</v>
      </c>
      <c r="G557" s="65" t="s">
        <v>330</v>
      </c>
      <c r="H557" s="59">
        <v>0</v>
      </c>
      <c r="I557" s="60">
        <v>0</v>
      </c>
      <c r="J557" s="59">
        <v>0</v>
      </c>
      <c r="K557" s="61" t="s">
        <v>330</v>
      </c>
      <c r="L557" s="62" t="s">
        <v>330</v>
      </c>
    </row>
    <row r="558" spans="1:12" x14ac:dyDescent="0.25">
      <c r="A558" s="57" t="s">
        <v>786</v>
      </c>
      <c r="B558" s="58" t="s">
        <v>108</v>
      </c>
      <c r="C558" s="58"/>
      <c r="D558" s="58" t="s">
        <v>332</v>
      </c>
      <c r="E558" s="58" t="s">
        <v>785</v>
      </c>
      <c r="F558" s="58" t="s">
        <v>337</v>
      </c>
      <c r="G558" s="58">
        <v>0</v>
      </c>
      <c r="H558" s="59">
        <v>0</v>
      </c>
      <c r="I558" s="60">
        <v>0</v>
      </c>
      <c r="J558" s="59">
        <v>0</v>
      </c>
      <c r="K558" s="61" t="s">
        <v>330</v>
      </c>
      <c r="L558" s="62" t="s">
        <v>330</v>
      </c>
    </row>
    <row r="559" spans="1:12" x14ac:dyDescent="0.25">
      <c r="A559" s="57" t="s">
        <v>784</v>
      </c>
      <c r="B559" s="58" t="s">
        <v>108</v>
      </c>
      <c r="C559" s="58"/>
      <c r="D559" s="58" t="s">
        <v>332</v>
      </c>
      <c r="E559" s="58" t="s">
        <v>783</v>
      </c>
      <c r="F559" s="58"/>
      <c r="G559" s="58">
        <v>0</v>
      </c>
      <c r="H559" s="59">
        <v>0</v>
      </c>
      <c r="I559" s="60">
        <v>0</v>
      </c>
      <c r="J559" s="59">
        <v>0</v>
      </c>
      <c r="K559" s="61" t="s">
        <v>330</v>
      </c>
      <c r="L559" s="62" t="s">
        <v>330</v>
      </c>
    </row>
    <row r="560" spans="1:12" x14ac:dyDescent="0.25">
      <c r="A560" s="57" t="s">
        <v>782</v>
      </c>
      <c r="B560" s="58" t="s">
        <v>108</v>
      </c>
      <c r="C560" s="58"/>
      <c r="D560" s="58" t="s">
        <v>332</v>
      </c>
      <c r="E560" s="58" t="s">
        <v>781</v>
      </c>
      <c r="F560" s="58" t="s">
        <v>337</v>
      </c>
      <c r="G560" s="58">
        <v>0</v>
      </c>
      <c r="H560" s="59">
        <v>0</v>
      </c>
      <c r="I560" s="60">
        <v>0</v>
      </c>
      <c r="J560" s="59">
        <v>0</v>
      </c>
      <c r="K560" s="61" t="s">
        <v>330</v>
      </c>
      <c r="L560" s="62" t="s">
        <v>330</v>
      </c>
    </row>
    <row r="561" spans="1:12" x14ac:dyDescent="0.25">
      <c r="A561" s="57" t="s">
        <v>780</v>
      </c>
      <c r="B561" s="58" t="s">
        <v>108</v>
      </c>
      <c r="C561" s="58"/>
      <c r="D561" s="58" t="s">
        <v>332</v>
      </c>
      <c r="E561" s="58" t="s">
        <v>779</v>
      </c>
      <c r="F561" s="58" t="s">
        <v>337</v>
      </c>
      <c r="G561" s="58">
        <v>0</v>
      </c>
      <c r="H561" s="59">
        <v>0</v>
      </c>
      <c r="I561" s="60">
        <v>0</v>
      </c>
      <c r="J561" s="59">
        <v>0</v>
      </c>
      <c r="K561" s="61" t="s">
        <v>330</v>
      </c>
      <c r="L561" s="62" t="s">
        <v>330</v>
      </c>
    </row>
    <row r="562" spans="1:12" x14ac:dyDescent="0.25">
      <c r="A562" s="57" t="s">
        <v>778</v>
      </c>
      <c r="B562" s="58" t="s">
        <v>108</v>
      </c>
      <c r="C562" s="58"/>
      <c r="D562" s="58" t="s">
        <v>332</v>
      </c>
      <c r="E562" s="58" t="s">
        <v>777</v>
      </c>
      <c r="F562" s="58" t="s">
        <v>337</v>
      </c>
      <c r="G562" s="58">
        <v>0</v>
      </c>
      <c r="H562" s="59">
        <v>0</v>
      </c>
      <c r="I562" s="60">
        <v>0</v>
      </c>
      <c r="J562" s="59">
        <v>0</v>
      </c>
      <c r="K562" s="61" t="s">
        <v>330</v>
      </c>
      <c r="L562" s="62" t="s">
        <v>330</v>
      </c>
    </row>
    <row r="563" spans="1:12" x14ac:dyDescent="0.25">
      <c r="A563" s="57" t="s">
        <v>776</v>
      </c>
      <c r="B563" s="58" t="s">
        <v>108</v>
      </c>
      <c r="C563" s="58"/>
      <c r="D563" s="58" t="s">
        <v>332</v>
      </c>
      <c r="E563" s="58" t="s">
        <v>775</v>
      </c>
      <c r="F563" s="58" t="s">
        <v>337</v>
      </c>
      <c r="G563" s="58">
        <v>0</v>
      </c>
      <c r="H563" s="59">
        <v>0</v>
      </c>
      <c r="I563" s="60">
        <v>0</v>
      </c>
      <c r="J563" s="59">
        <v>0</v>
      </c>
      <c r="K563" s="61" t="s">
        <v>330</v>
      </c>
      <c r="L563" s="62" t="s">
        <v>330</v>
      </c>
    </row>
    <row r="564" spans="1:12" x14ac:dyDescent="0.25">
      <c r="A564" s="57" t="s">
        <v>774</v>
      </c>
      <c r="B564" s="58" t="s">
        <v>108</v>
      </c>
      <c r="C564" s="58"/>
      <c r="D564" s="58" t="s">
        <v>332</v>
      </c>
      <c r="E564" s="58" t="s">
        <v>773</v>
      </c>
      <c r="F564" s="58" t="s">
        <v>337</v>
      </c>
      <c r="G564" s="58">
        <v>0</v>
      </c>
      <c r="H564" s="59">
        <v>0</v>
      </c>
      <c r="I564" s="60">
        <v>0</v>
      </c>
      <c r="J564" s="59">
        <v>0</v>
      </c>
      <c r="K564" s="61" t="s">
        <v>330</v>
      </c>
      <c r="L564" s="62" t="s">
        <v>330</v>
      </c>
    </row>
    <row r="565" spans="1:12" x14ac:dyDescent="0.25">
      <c r="A565" s="57" t="s">
        <v>772</v>
      </c>
      <c r="B565" s="58" t="s">
        <v>108</v>
      </c>
      <c r="C565" s="58"/>
      <c r="D565" s="58" t="s">
        <v>332</v>
      </c>
      <c r="E565" s="58" t="s">
        <v>771</v>
      </c>
      <c r="F565" s="58" t="s">
        <v>337</v>
      </c>
      <c r="G565" s="58">
        <v>0</v>
      </c>
      <c r="H565" s="59">
        <v>0</v>
      </c>
      <c r="I565" s="60">
        <v>0</v>
      </c>
      <c r="J565" s="59">
        <v>0</v>
      </c>
      <c r="K565" s="61" t="s">
        <v>330</v>
      </c>
      <c r="L565" s="62" t="s">
        <v>330</v>
      </c>
    </row>
    <row r="566" spans="1:12" x14ac:dyDescent="0.25">
      <c r="A566" s="57" t="s">
        <v>770</v>
      </c>
      <c r="B566" s="58" t="s">
        <v>108</v>
      </c>
      <c r="C566" s="58"/>
      <c r="D566" s="58" t="s">
        <v>332</v>
      </c>
      <c r="E566" s="58" t="s">
        <v>769</v>
      </c>
      <c r="F566" s="58" t="s">
        <v>337</v>
      </c>
      <c r="G566" s="58">
        <v>0</v>
      </c>
      <c r="H566" s="59">
        <v>0</v>
      </c>
      <c r="I566" s="60">
        <v>0</v>
      </c>
      <c r="J566" s="59">
        <v>0</v>
      </c>
      <c r="K566" s="61" t="s">
        <v>330</v>
      </c>
      <c r="L566" s="62" t="s">
        <v>330</v>
      </c>
    </row>
    <row r="567" spans="1:12" x14ac:dyDescent="0.25">
      <c r="A567" s="57" t="s">
        <v>768</v>
      </c>
      <c r="B567" s="58" t="s">
        <v>108</v>
      </c>
      <c r="C567" s="58"/>
      <c r="D567" s="58" t="s">
        <v>332</v>
      </c>
      <c r="E567" s="58" t="s">
        <v>767</v>
      </c>
      <c r="F567" s="58" t="s">
        <v>337</v>
      </c>
      <c r="G567" s="58">
        <v>0</v>
      </c>
      <c r="H567" s="59">
        <v>0</v>
      </c>
      <c r="I567" s="60">
        <v>0</v>
      </c>
      <c r="J567" s="59">
        <v>0</v>
      </c>
      <c r="K567" s="61" t="s">
        <v>330</v>
      </c>
      <c r="L567" s="62" t="s">
        <v>330</v>
      </c>
    </row>
    <row r="568" spans="1:12" x14ac:dyDescent="0.25">
      <c r="A568" s="57" t="s">
        <v>766</v>
      </c>
      <c r="B568" s="58" t="s">
        <v>108</v>
      </c>
      <c r="C568" s="58" t="s">
        <v>765</v>
      </c>
      <c r="D568" s="58" t="s">
        <v>355</v>
      </c>
      <c r="E568" s="58" t="s">
        <v>764</v>
      </c>
      <c r="F568" s="58" t="s">
        <v>763</v>
      </c>
      <c r="G568" s="58">
        <v>1</v>
      </c>
      <c r="H568" s="59">
        <v>6743574.04</v>
      </c>
      <c r="I568" s="60">
        <v>6743573.8499999996</v>
      </c>
      <c r="J568" s="59">
        <v>0.19000000040978193</v>
      </c>
      <c r="K568" s="63">
        <v>44693</v>
      </c>
      <c r="L568" s="64">
        <v>45152</v>
      </c>
    </row>
    <row r="569" spans="1:12" x14ac:dyDescent="0.25">
      <c r="A569" s="57" t="s">
        <v>281</v>
      </c>
      <c r="B569" s="58" t="s">
        <v>108</v>
      </c>
      <c r="C569" s="58" t="s">
        <v>762</v>
      </c>
      <c r="D569" s="58" t="s">
        <v>355</v>
      </c>
      <c r="E569" s="58" t="s">
        <v>761</v>
      </c>
      <c r="F569" s="58" t="s">
        <v>760</v>
      </c>
      <c r="G569" s="58">
        <v>0.95629999999999993</v>
      </c>
      <c r="H569" s="59">
        <v>1052239.53</v>
      </c>
      <c r="I569" s="60">
        <v>1006235.15</v>
      </c>
      <c r="J569" s="59">
        <v>46004.380000000005</v>
      </c>
      <c r="K569" s="63">
        <v>44613</v>
      </c>
      <c r="L569" s="64">
        <v>45183</v>
      </c>
    </row>
    <row r="570" spans="1:12" x14ac:dyDescent="0.25">
      <c r="A570" s="57" t="s">
        <v>759</v>
      </c>
      <c r="B570" s="58" t="s">
        <v>108</v>
      </c>
      <c r="C570" s="58"/>
      <c r="D570" s="58" t="s">
        <v>332</v>
      </c>
      <c r="E570" s="58" t="s">
        <v>758</v>
      </c>
      <c r="F570" s="58" t="s">
        <v>337</v>
      </c>
      <c r="G570" s="58">
        <v>0</v>
      </c>
      <c r="H570" s="59">
        <v>50714.7</v>
      </c>
      <c r="I570" s="60">
        <v>0</v>
      </c>
      <c r="J570" s="59">
        <v>50714.7</v>
      </c>
      <c r="K570" s="61" t="s">
        <v>330</v>
      </c>
      <c r="L570" s="62" t="s">
        <v>330</v>
      </c>
    </row>
    <row r="571" spans="1:12" x14ac:dyDescent="0.25">
      <c r="A571" s="57" t="s">
        <v>757</v>
      </c>
      <c r="B571" s="58" t="s">
        <v>108</v>
      </c>
      <c r="C571" s="58"/>
      <c r="D571" s="58" t="s">
        <v>332</v>
      </c>
      <c r="E571" s="58" t="s">
        <v>756</v>
      </c>
      <c r="F571" s="58" t="s">
        <v>337</v>
      </c>
      <c r="G571" s="58">
        <v>0</v>
      </c>
      <c r="H571" s="59">
        <v>91657.600000000006</v>
      </c>
      <c r="I571" s="60">
        <v>0</v>
      </c>
      <c r="J571" s="59">
        <v>91657.600000000006</v>
      </c>
      <c r="K571" s="61" t="s">
        <v>330</v>
      </c>
      <c r="L571" s="62" t="s">
        <v>330</v>
      </c>
    </row>
    <row r="572" spans="1:12" x14ac:dyDescent="0.25">
      <c r="A572" s="57" t="s">
        <v>265</v>
      </c>
      <c r="B572" s="58" t="s">
        <v>108</v>
      </c>
      <c r="C572" s="58" t="s">
        <v>755</v>
      </c>
      <c r="D572" s="58" t="s">
        <v>7</v>
      </c>
      <c r="E572" s="58" t="s">
        <v>754</v>
      </c>
      <c r="F572" s="58" t="s">
        <v>753</v>
      </c>
      <c r="G572" s="58">
        <v>0.6409999999999999</v>
      </c>
      <c r="H572" s="59">
        <v>256613.37</v>
      </c>
      <c r="I572" s="60">
        <v>164482.69</v>
      </c>
      <c r="J572" s="59">
        <v>92130.68</v>
      </c>
      <c r="K572" s="63">
        <v>45915</v>
      </c>
      <c r="L572" s="64">
        <v>46005</v>
      </c>
    </row>
    <row r="573" spans="1:12" x14ac:dyDescent="0.25">
      <c r="A573" s="57" t="s">
        <v>752</v>
      </c>
      <c r="B573" s="58" t="s">
        <v>108</v>
      </c>
      <c r="C573" s="58"/>
      <c r="D573" s="58" t="s">
        <v>332</v>
      </c>
      <c r="E573" s="58" t="s">
        <v>751</v>
      </c>
      <c r="F573" s="58" t="s">
        <v>337</v>
      </c>
      <c r="G573" s="58">
        <v>0</v>
      </c>
      <c r="H573" s="59">
        <v>96963.839999999997</v>
      </c>
      <c r="I573" s="60">
        <v>0</v>
      </c>
      <c r="J573" s="59">
        <v>96963.839999999997</v>
      </c>
      <c r="K573" s="61" t="s">
        <v>330</v>
      </c>
      <c r="L573" s="62" t="s">
        <v>330</v>
      </c>
    </row>
    <row r="574" spans="1:12" x14ac:dyDescent="0.25">
      <c r="A574" s="57" t="s">
        <v>750</v>
      </c>
      <c r="B574" s="58" t="s">
        <v>108</v>
      </c>
      <c r="C574" s="58"/>
      <c r="D574" s="58" t="s">
        <v>332</v>
      </c>
      <c r="E574" s="58" t="s">
        <v>749</v>
      </c>
      <c r="F574" s="58" t="s">
        <v>337</v>
      </c>
      <c r="G574" s="58">
        <v>0</v>
      </c>
      <c r="H574" s="59">
        <v>102716.49</v>
      </c>
      <c r="I574" s="60">
        <v>0</v>
      </c>
      <c r="J574" s="59">
        <v>102716.49</v>
      </c>
      <c r="K574" s="61" t="s">
        <v>330</v>
      </c>
      <c r="L574" s="62" t="s">
        <v>330</v>
      </c>
    </row>
    <row r="575" spans="1:12" x14ac:dyDescent="0.25">
      <c r="A575" s="57" t="s">
        <v>748</v>
      </c>
      <c r="B575" s="58" t="s">
        <v>108</v>
      </c>
      <c r="C575" s="58"/>
      <c r="D575" s="58" t="s">
        <v>332</v>
      </c>
      <c r="E575" s="58" t="s">
        <v>747</v>
      </c>
      <c r="F575" s="58" t="s">
        <v>337</v>
      </c>
      <c r="G575" s="58">
        <v>0</v>
      </c>
      <c r="H575" s="59">
        <v>135936.66</v>
      </c>
      <c r="I575" s="60">
        <v>0</v>
      </c>
      <c r="J575" s="59">
        <v>135936.66</v>
      </c>
      <c r="K575" s="61" t="s">
        <v>330</v>
      </c>
      <c r="L575" s="62" t="s">
        <v>330</v>
      </c>
    </row>
    <row r="576" spans="1:12" x14ac:dyDescent="0.25">
      <c r="A576" s="57" t="s">
        <v>746</v>
      </c>
      <c r="B576" s="58" t="s">
        <v>108</v>
      </c>
      <c r="C576" s="58"/>
      <c r="D576" s="58" t="s">
        <v>332</v>
      </c>
      <c r="E576" s="58" t="s">
        <v>745</v>
      </c>
      <c r="F576" s="58" t="s">
        <v>337</v>
      </c>
      <c r="G576" s="58">
        <v>0</v>
      </c>
      <c r="H576" s="59">
        <v>146805.75</v>
      </c>
      <c r="I576" s="60">
        <v>0</v>
      </c>
      <c r="J576" s="59">
        <v>146805.75</v>
      </c>
      <c r="K576" s="61" t="s">
        <v>330</v>
      </c>
      <c r="L576" s="62" t="s">
        <v>330</v>
      </c>
    </row>
    <row r="577" spans="1:12" x14ac:dyDescent="0.25">
      <c r="A577" s="57" t="s">
        <v>744</v>
      </c>
      <c r="B577" s="58" t="s">
        <v>108</v>
      </c>
      <c r="C577" s="58"/>
      <c r="D577" s="58" t="s">
        <v>332</v>
      </c>
      <c r="E577" s="58" t="s">
        <v>743</v>
      </c>
      <c r="F577" s="58" t="s">
        <v>337</v>
      </c>
      <c r="G577" s="58">
        <v>0</v>
      </c>
      <c r="H577" s="59">
        <v>174980.41</v>
      </c>
      <c r="I577" s="60">
        <v>0</v>
      </c>
      <c r="J577" s="59">
        <v>174980.41</v>
      </c>
      <c r="K577" s="61" t="s">
        <v>330</v>
      </c>
      <c r="L577" s="62" t="s">
        <v>330</v>
      </c>
    </row>
    <row r="578" spans="1:12" x14ac:dyDescent="0.25">
      <c r="A578" s="57" t="s">
        <v>742</v>
      </c>
      <c r="B578" s="58" t="s">
        <v>108</v>
      </c>
      <c r="C578" s="58"/>
      <c r="D578" s="58" t="s">
        <v>332</v>
      </c>
      <c r="E578" s="58" t="s">
        <v>741</v>
      </c>
      <c r="F578" s="58" t="s">
        <v>337</v>
      </c>
      <c r="G578" s="58">
        <v>0</v>
      </c>
      <c r="H578" s="59">
        <v>280185.25</v>
      </c>
      <c r="I578" s="60">
        <v>0</v>
      </c>
      <c r="J578" s="59">
        <v>280185.25</v>
      </c>
      <c r="K578" s="61" t="s">
        <v>330</v>
      </c>
      <c r="L578" s="62" t="s">
        <v>330</v>
      </c>
    </row>
    <row r="579" spans="1:12" x14ac:dyDescent="0.25">
      <c r="A579" s="57" t="s">
        <v>293</v>
      </c>
      <c r="B579" s="58" t="s">
        <v>108</v>
      </c>
      <c r="C579" s="58" t="s">
        <v>740</v>
      </c>
      <c r="D579" s="58" t="s">
        <v>7</v>
      </c>
      <c r="E579" s="58" t="s">
        <v>739</v>
      </c>
      <c r="F579" s="58" t="s">
        <v>655</v>
      </c>
      <c r="G579" s="58">
        <v>0.95079999999999998</v>
      </c>
      <c r="H579" s="59">
        <v>13554947.83</v>
      </c>
      <c r="I579" s="60">
        <v>12888506.560000001</v>
      </c>
      <c r="J579" s="59">
        <v>666441.26999999955</v>
      </c>
      <c r="K579" s="63">
        <v>44537</v>
      </c>
      <c r="L579" s="64">
        <v>46075</v>
      </c>
    </row>
    <row r="580" spans="1:12" x14ac:dyDescent="0.25">
      <c r="A580" s="57" t="s">
        <v>738</v>
      </c>
      <c r="B580" s="58" t="s">
        <v>108</v>
      </c>
      <c r="C580" s="58"/>
      <c r="D580" s="58" t="s">
        <v>332</v>
      </c>
      <c r="E580" s="58" t="s">
        <v>737</v>
      </c>
      <c r="F580" s="58" t="s">
        <v>337</v>
      </c>
      <c r="G580" s="58">
        <v>0</v>
      </c>
      <c r="H580" s="59">
        <v>821972.45</v>
      </c>
      <c r="I580" s="60">
        <v>0</v>
      </c>
      <c r="J580" s="59">
        <v>821972.45</v>
      </c>
      <c r="K580" s="61" t="s">
        <v>330</v>
      </c>
      <c r="L580" s="62" t="s">
        <v>330</v>
      </c>
    </row>
    <row r="581" spans="1:12" x14ac:dyDescent="0.25">
      <c r="A581" s="57" t="s">
        <v>736</v>
      </c>
      <c r="B581" s="58" t="s">
        <v>108</v>
      </c>
      <c r="C581" s="58"/>
      <c r="D581" s="58" t="s">
        <v>339</v>
      </c>
      <c r="E581" s="58" t="s">
        <v>735</v>
      </c>
      <c r="F581" s="58" t="s">
        <v>337</v>
      </c>
      <c r="G581" s="58">
        <v>0</v>
      </c>
      <c r="H581" s="59">
        <v>842186.97</v>
      </c>
      <c r="I581" s="60">
        <v>0</v>
      </c>
      <c r="J581" s="59">
        <v>842186.97</v>
      </c>
      <c r="K581" s="61" t="s">
        <v>330</v>
      </c>
      <c r="L581" s="62" t="s">
        <v>330</v>
      </c>
    </row>
    <row r="582" spans="1:12" x14ac:dyDescent="0.25">
      <c r="A582" s="57" t="s">
        <v>734</v>
      </c>
      <c r="B582" s="58" t="s">
        <v>108</v>
      </c>
      <c r="C582" s="58"/>
      <c r="D582" s="58" t="s">
        <v>332</v>
      </c>
      <c r="E582" s="58" t="s">
        <v>733</v>
      </c>
      <c r="F582" s="58" t="s">
        <v>337</v>
      </c>
      <c r="G582" s="58">
        <v>0</v>
      </c>
      <c r="H582" s="59">
        <v>852003.94</v>
      </c>
      <c r="I582" s="60">
        <v>0</v>
      </c>
      <c r="J582" s="59">
        <v>852003.94</v>
      </c>
      <c r="K582" s="61" t="s">
        <v>330</v>
      </c>
      <c r="L582" s="62" t="s">
        <v>330</v>
      </c>
    </row>
    <row r="583" spans="1:12" x14ac:dyDescent="0.25">
      <c r="A583" s="57" t="s">
        <v>732</v>
      </c>
      <c r="B583" s="58" t="s">
        <v>108</v>
      </c>
      <c r="C583" s="58"/>
      <c r="D583" s="58" t="s">
        <v>332</v>
      </c>
      <c r="E583" s="58" t="s">
        <v>731</v>
      </c>
      <c r="F583" s="58" t="s">
        <v>337</v>
      </c>
      <c r="G583" s="58">
        <v>0</v>
      </c>
      <c r="H583" s="59">
        <v>1161004.58</v>
      </c>
      <c r="I583" s="60">
        <v>0</v>
      </c>
      <c r="J583" s="59">
        <v>1161004.58</v>
      </c>
      <c r="K583" s="61" t="s">
        <v>330</v>
      </c>
      <c r="L583" s="62" t="s">
        <v>330</v>
      </c>
    </row>
    <row r="584" spans="1:12" x14ac:dyDescent="0.25">
      <c r="A584" s="57" t="s">
        <v>730</v>
      </c>
      <c r="B584" s="58" t="s">
        <v>108</v>
      </c>
      <c r="C584" s="58"/>
      <c r="D584" s="58" t="s">
        <v>339</v>
      </c>
      <c r="E584" s="58" t="s">
        <v>729</v>
      </c>
      <c r="F584" s="58" t="s">
        <v>337</v>
      </c>
      <c r="G584" s="58">
        <v>0</v>
      </c>
      <c r="H584" s="59">
        <v>1219170.6200000001</v>
      </c>
      <c r="I584" s="60">
        <v>0</v>
      </c>
      <c r="J584" s="59">
        <v>1219170.6200000001</v>
      </c>
      <c r="K584" s="61" t="s">
        <v>330</v>
      </c>
      <c r="L584" s="62" t="s">
        <v>330</v>
      </c>
    </row>
    <row r="585" spans="1:12" x14ac:dyDescent="0.25">
      <c r="A585" s="57" t="s">
        <v>728</v>
      </c>
      <c r="B585" s="58" t="s">
        <v>108</v>
      </c>
      <c r="C585" s="58" t="s">
        <v>727</v>
      </c>
      <c r="D585" s="58" t="s">
        <v>426</v>
      </c>
      <c r="E585" s="58" t="s">
        <v>726</v>
      </c>
      <c r="F585" s="58" t="s">
        <v>725</v>
      </c>
      <c r="G585" s="58">
        <v>0</v>
      </c>
      <c r="H585" s="59">
        <v>1305890.95</v>
      </c>
      <c r="I585" s="60">
        <v>0</v>
      </c>
      <c r="J585" s="59">
        <v>1305890.95</v>
      </c>
      <c r="K585" s="63">
        <v>44610</v>
      </c>
      <c r="L585" s="64">
        <v>45567</v>
      </c>
    </row>
    <row r="586" spans="1:12" x14ac:dyDescent="0.25">
      <c r="A586" s="57" t="s">
        <v>296</v>
      </c>
      <c r="B586" s="58" t="s">
        <v>108</v>
      </c>
      <c r="C586" s="58" t="s">
        <v>724</v>
      </c>
      <c r="D586" s="58" t="s">
        <v>355</v>
      </c>
      <c r="E586" s="58" t="s">
        <v>723</v>
      </c>
      <c r="F586" s="58" t="s">
        <v>722</v>
      </c>
      <c r="G586" s="58">
        <v>0.97659999999999991</v>
      </c>
      <c r="H586" s="59">
        <v>56185153.920000002</v>
      </c>
      <c r="I586" s="60">
        <v>54872063.399999999</v>
      </c>
      <c r="J586" s="59">
        <v>1313090.5200000033</v>
      </c>
      <c r="K586" s="63">
        <v>44872</v>
      </c>
      <c r="L586" s="64">
        <v>45475</v>
      </c>
    </row>
    <row r="587" spans="1:12" x14ac:dyDescent="0.25">
      <c r="A587" s="57" t="s">
        <v>721</v>
      </c>
      <c r="B587" s="58" t="s">
        <v>108</v>
      </c>
      <c r="C587" s="58"/>
      <c r="D587" s="58" t="s">
        <v>332</v>
      </c>
      <c r="E587" s="58" t="s">
        <v>720</v>
      </c>
      <c r="F587" s="58" t="s">
        <v>337</v>
      </c>
      <c r="G587" s="58">
        <v>0</v>
      </c>
      <c r="H587" s="59">
        <v>1337514.3899999999</v>
      </c>
      <c r="I587" s="60">
        <v>0</v>
      </c>
      <c r="J587" s="59">
        <v>1337514.3899999999</v>
      </c>
      <c r="K587" s="61" t="s">
        <v>330</v>
      </c>
      <c r="L587" s="62" t="s">
        <v>330</v>
      </c>
    </row>
    <row r="588" spans="1:12" x14ac:dyDescent="0.25">
      <c r="A588" s="57" t="s">
        <v>719</v>
      </c>
      <c r="B588" s="58" t="s">
        <v>108</v>
      </c>
      <c r="C588" s="58" t="s">
        <v>718</v>
      </c>
      <c r="D588" s="58" t="s">
        <v>396</v>
      </c>
      <c r="E588" s="58" t="s">
        <v>717</v>
      </c>
      <c r="F588" s="58" t="s">
        <v>716</v>
      </c>
      <c r="G588" s="58">
        <v>0</v>
      </c>
      <c r="H588" s="59">
        <v>1567977.92</v>
      </c>
      <c r="I588" s="60">
        <v>0</v>
      </c>
      <c r="J588" s="59">
        <v>1567977.92</v>
      </c>
      <c r="K588" s="63">
        <v>44729</v>
      </c>
      <c r="L588" s="62" t="s">
        <v>330</v>
      </c>
    </row>
    <row r="589" spans="1:12" x14ac:dyDescent="0.25">
      <c r="A589" s="57" t="s">
        <v>715</v>
      </c>
      <c r="B589" s="58" t="s">
        <v>108</v>
      </c>
      <c r="C589" s="58"/>
      <c r="D589" s="58" t="s">
        <v>332</v>
      </c>
      <c r="E589" s="58" t="s">
        <v>714</v>
      </c>
      <c r="F589" s="58" t="s">
        <v>337</v>
      </c>
      <c r="G589" s="58">
        <v>0</v>
      </c>
      <c r="H589" s="59">
        <v>1649687.73</v>
      </c>
      <c r="I589" s="60">
        <v>0</v>
      </c>
      <c r="J589" s="59">
        <v>1649687.73</v>
      </c>
      <c r="K589" s="61" t="s">
        <v>330</v>
      </c>
      <c r="L589" s="62" t="s">
        <v>330</v>
      </c>
    </row>
    <row r="590" spans="1:12" x14ac:dyDescent="0.25">
      <c r="A590" s="57" t="s">
        <v>298</v>
      </c>
      <c r="B590" s="58" t="s">
        <v>108</v>
      </c>
      <c r="C590" s="58" t="s">
        <v>713</v>
      </c>
      <c r="D590" s="58" t="s">
        <v>7</v>
      </c>
      <c r="E590" s="58" t="s">
        <v>712</v>
      </c>
      <c r="F590" s="58" t="s">
        <v>711</v>
      </c>
      <c r="G590" s="58">
        <v>0.85129999999999995</v>
      </c>
      <c r="H590" s="59">
        <v>12100122.6</v>
      </c>
      <c r="I590" s="60">
        <v>10301084.52</v>
      </c>
      <c r="J590" s="59">
        <v>1799038.08</v>
      </c>
      <c r="K590" s="63">
        <v>45758</v>
      </c>
      <c r="L590" s="64">
        <v>46123</v>
      </c>
    </row>
    <row r="591" spans="1:12" x14ac:dyDescent="0.25">
      <c r="A591" s="57" t="s">
        <v>710</v>
      </c>
      <c r="B591" s="58" t="s">
        <v>108</v>
      </c>
      <c r="C591" s="58"/>
      <c r="D591" s="58" t="s">
        <v>332</v>
      </c>
      <c r="E591" s="58" t="s">
        <v>709</v>
      </c>
      <c r="F591" s="58" t="s">
        <v>337</v>
      </c>
      <c r="G591" s="58">
        <v>0</v>
      </c>
      <c r="H591" s="59">
        <v>1830585.24</v>
      </c>
      <c r="I591" s="60">
        <v>0</v>
      </c>
      <c r="J591" s="59">
        <v>1830585.24</v>
      </c>
      <c r="K591" s="61" t="s">
        <v>330</v>
      </c>
      <c r="L591" s="62" t="s">
        <v>330</v>
      </c>
    </row>
    <row r="592" spans="1:12" x14ac:dyDescent="0.25">
      <c r="A592" s="57" t="s">
        <v>708</v>
      </c>
      <c r="B592" s="58" t="s">
        <v>108</v>
      </c>
      <c r="C592" s="58"/>
      <c r="D592" s="58" t="s">
        <v>332</v>
      </c>
      <c r="E592" s="58" t="s">
        <v>707</v>
      </c>
      <c r="F592" s="58" t="s">
        <v>337</v>
      </c>
      <c r="G592" s="58">
        <v>0</v>
      </c>
      <c r="H592" s="59">
        <v>1882820.54</v>
      </c>
      <c r="I592" s="60">
        <v>0</v>
      </c>
      <c r="J592" s="59">
        <v>1882820.54</v>
      </c>
      <c r="K592" s="61" t="s">
        <v>330</v>
      </c>
      <c r="L592" s="62" t="s">
        <v>330</v>
      </c>
    </row>
    <row r="593" spans="1:12" x14ac:dyDescent="0.25">
      <c r="A593" s="57" t="s">
        <v>301</v>
      </c>
      <c r="B593" s="58" t="s">
        <v>108</v>
      </c>
      <c r="C593" s="58" t="s">
        <v>706</v>
      </c>
      <c r="D593" s="58" t="s">
        <v>7</v>
      </c>
      <c r="E593" s="58" t="s">
        <v>705</v>
      </c>
      <c r="F593" s="58" t="s">
        <v>109</v>
      </c>
      <c r="G593" s="58">
        <v>0.84549999999999992</v>
      </c>
      <c r="H593" s="59">
        <v>12432476.25</v>
      </c>
      <c r="I593" s="60">
        <v>10511270.470000001</v>
      </c>
      <c r="J593" s="59">
        <v>1921205.7799999993</v>
      </c>
      <c r="K593" s="63">
        <v>45894</v>
      </c>
      <c r="L593" s="64">
        <v>46112</v>
      </c>
    </row>
    <row r="594" spans="1:12" x14ac:dyDescent="0.25">
      <c r="A594" s="57" t="s">
        <v>704</v>
      </c>
      <c r="B594" s="58" t="s">
        <v>108</v>
      </c>
      <c r="C594" s="58"/>
      <c r="D594" s="58" t="s">
        <v>332</v>
      </c>
      <c r="E594" s="58" t="s">
        <v>703</v>
      </c>
      <c r="F594" s="58" t="s">
        <v>337</v>
      </c>
      <c r="G594" s="58">
        <v>0</v>
      </c>
      <c r="H594" s="59">
        <v>2107558.3199999998</v>
      </c>
      <c r="I594" s="60">
        <v>0</v>
      </c>
      <c r="J594" s="59">
        <v>2107558.3199999998</v>
      </c>
      <c r="K594" s="61" t="s">
        <v>330</v>
      </c>
      <c r="L594" s="62" t="s">
        <v>330</v>
      </c>
    </row>
    <row r="595" spans="1:12" x14ac:dyDescent="0.25">
      <c r="A595" s="57" t="s">
        <v>702</v>
      </c>
      <c r="B595" s="58" t="s">
        <v>108</v>
      </c>
      <c r="C595" s="58" t="s">
        <v>701</v>
      </c>
      <c r="D595" s="58" t="s">
        <v>396</v>
      </c>
      <c r="E595" s="58" t="s">
        <v>700</v>
      </c>
      <c r="F595" s="58" t="s">
        <v>699</v>
      </c>
      <c r="G595" s="58">
        <v>0</v>
      </c>
      <c r="H595" s="59">
        <v>2646546.6800000002</v>
      </c>
      <c r="I595" s="60">
        <v>0</v>
      </c>
      <c r="J595" s="59">
        <v>2646546.6800000002</v>
      </c>
      <c r="K595" s="63">
        <v>44824</v>
      </c>
      <c r="L595" s="62" t="s">
        <v>330</v>
      </c>
    </row>
    <row r="596" spans="1:12" x14ac:dyDescent="0.25">
      <c r="A596" s="57" t="s">
        <v>323</v>
      </c>
      <c r="B596" s="58" t="s">
        <v>108</v>
      </c>
      <c r="C596" s="58" t="s">
        <v>698</v>
      </c>
      <c r="D596" s="58" t="s">
        <v>7</v>
      </c>
      <c r="E596" s="58" t="s">
        <v>697</v>
      </c>
      <c r="F596" s="58" t="s">
        <v>696</v>
      </c>
      <c r="G596" s="58">
        <v>0.89159999999999995</v>
      </c>
      <c r="H596" s="59">
        <v>24590858.27</v>
      </c>
      <c r="I596" s="60">
        <v>21925638.52</v>
      </c>
      <c r="J596" s="59">
        <v>2665219.75</v>
      </c>
      <c r="K596" s="63">
        <v>44638</v>
      </c>
      <c r="L596" s="64">
        <v>45936</v>
      </c>
    </row>
    <row r="597" spans="1:12" x14ac:dyDescent="0.25">
      <c r="A597" s="57" t="s">
        <v>695</v>
      </c>
      <c r="B597" s="58" t="s">
        <v>108</v>
      </c>
      <c r="C597" s="58"/>
      <c r="D597" s="58" t="s">
        <v>332</v>
      </c>
      <c r="E597" s="58" t="s">
        <v>694</v>
      </c>
      <c r="F597" s="58" t="s">
        <v>337</v>
      </c>
      <c r="G597" s="58">
        <v>0</v>
      </c>
      <c r="H597" s="59">
        <v>2830241.74</v>
      </c>
      <c r="I597" s="60">
        <v>0</v>
      </c>
      <c r="J597" s="59">
        <v>2830241.74</v>
      </c>
      <c r="K597" s="61" t="s">
        <v>330</v>
      </c>
      <c r="L597" s="62" t="s">
        <v>330</v>
      </c>
    </row>
    <row r="598" spans="1:12" x14ac:dyDescent="0.25">
      <c r="A598" s="57" t="s">
        <v>693</v>
      </c>
      <c r="B598" s="58" t="s">
        <v>108</v>
      </c>
      <c r="C598" s="58"/>
      <c r="D598" s="58" t="s">
        <v>332</v>
      </c>
      <c r="E598" s="58" t="s">
        <v>692</v>
      </c>
      <c r="F598" s="58" t="s">
        <v>337</v>
      </c>
      <c r="G598" s="58">
        <v>0</v>
      </c>
      <c r="H598" s="59">
        <v>3226375.38</v>
      </c>
      <c r="I598" s="60">
        <v>0</v>
      </c>
      <c r="J598" s="59">
        <v>3226375.38</v>
      </c>
      <c r="K598" s="61" t="s">
        <v>330</v>
      </c>
      <c r="L598" s="62" t="s">
        <v>330</v>
      </c>
    </row>
    <row r="599" spans="1:12" x14ac:dyDescent="0.25">
      <c r="A599" s="57" t="s">
        <v>315</v>
      </c>
      <c r="B599" s="58" t="s">
        <v>108</v>
      </c>
      <c r="C599" s="58" t="s">
        <v>691</v>
      </c>
      <c r="D599" s="58" t="s">
        <v>426</v>
      </c>
      <c r="E599" s="58" t="s">
        <v>690</v>
      </c>
      <c r="F599" s="58" t="s">
        <v>611</v>
      </c>
      <c r="G599" s="58">
        <v>7.0699999999999999E-2</v>
      </c>
      <c r="H599" s="59">
        <v>3615856.15</v>
      </c>
      <c r="I599" s="60">
        <v>255684.47</v>
      </c>
      <c r="J599" s="59">
        <v>3360171.6799999997</v>
      </c>
      <c r="K599" s="63">
        <v>44791</v>
      </c>
      <c r="L599" s="64">
        <v>45259</v>
      </c>
    </row>
    <row r="600" spans="1:12" x14ac:dyDescent="0.25">
      <c r="A600" s="57" t="s">
        <v>689</v>
      </c>
      <c r="B600" s="58" t="s">
        <v>108</v>
      </c>
      <c r="C600" s="58"/>
      <c r="D600" s="58" t="s">
        <v>339</v>
      </c>
      <c r="E600" s="58" t="s">
        <v>688</v>
      </c>
      <c r="F600" s="58" t="s">
        <v>337</v>
      </c>
      <c r="G600" s="58">
        <v>0</v>
      </c>
      <c r="H600" s="59">
        <v>3417987.58</v>
      </c>
      <c r="I600" s="60">
        <v>0</v>
      </c>
      <c r="J600" s="59">
        <v>3417987.58</v>
      </c>
      <c r="K600" s="61" t="s">
        <v>330</v>
      </c>
      <c r="L600" s="62" t="s">
        <v>330</v>
      </c>
    </row>
    <row r="601" spans="1:12" x14ac:dyDescent="0.25">
      <c r="A601" s="57" t="s">
        <v>687</v>
      </c>
      <c r="B601" s="58" t="s">
        <v>108</v>
      </c>
      <c r="C601" s="58"/>
      <c r="D601" s="58" t="s">
        <v>332</v>
      </c>
      <c r="E601" s="58" t="s">
        <v>686</v>
      </c>
      <c r="F601" s="58" t="s">
        <v>337</v>
      </c>
      <c r="G601" s="58">
        <v>0</v>
      </c>
      <c r="H601" s="59">
        <v>3697597.84</v>
      </c>
      <c r="I601" s="60">
        <v>0</v>
      </c>
      <c r="J601" s="59">
        <v>3697597.84</v>
      </c>
      <c r="K601" s="61" t="s">
        <v>330</v>
      </c>
      <c r="L601" s="62" t="s">
        <v>330</v>
      </c>
    </row>
    <row r="602" spans="1:12" x14ac:dyDescent="0.25">
      <c r="A602" s="57" t="s">
        <v>685</v>
      </c>
      <c r="B602" s="58" t="s">
        <v>108</v>
      </c>
      <c r="C602" s="58" t="s">
        <v>542</v>
      </c>
      <c r="D602" s="58" t="s">
        <v>396</v>
      </c>
      <c r="E602" s="58" t="s">
        <v>684</v>
      </c>
      <c r="F602" s="58" t="s">
        <v>683</v>
      </c>
      <c r="G602" s="58">
        <v>0</v>
      </c>
      <c r="H602" s="59">
        <v>4091403.98</v>
      </c>
      <c r="I602" s="60">
        <v>0</v>
      </c>
      <c r="J602" s="59">
        <v>4091403.98</v>
      </c>
      <c r="K602" s="63">
        <v>44729</v>
      </c>
      <c r="L602" s="62" t="s">
        <v>330</v>
      </c>
    </row>
    <row r="603" spans="1:12" x14ac:dyDescent="0.25">
      <c r="A603" s="57" t="s">
        <v>682</v>
      </c>
      <c r="B603" s="58" t="s">
        <v>108</v>
      </c>
      <c r="C603" s="58"/>
      <c r="D603" s="58" t="s">
        <v>332</v>
      </c>
      <c r="E603" s="58" t="s">
        <v>681</v>
      </c>
      <c r="F603" s="58" t="s">
        <v>337</v>
      </c>
      <c r="G603" s="58">
        <v>0</v>
      </c>
      <c r="H603" s="59">
        <v>4198784.63</v>
      </c>
      <c r="I603" s="60">
        <v>0</v>
      </c>
      <c r="J603" s="59">
        <v>4198784.63</v>
      </c>
      <c r="K603" s="61" t="s">
        <v>330</v>
      </c>
      <c r="L603" s="62" t="s">
        <v>330</v>
      </c>
    </row>
    <row r="604" spans="1:12" x14ac:dyDescent="0.25">
      <c r="A604" s="57" t="s">
        <v>680</v>
      </c>
      <c r="B604" s="58" t="s">
        <v>108</v>
      </c>
      <c r="C604" s="58" t="s">
        <v>679</v>
      </c>
      <c r="D604" s="58" t="s">
        <v>396</v>
      </c>
      <c r="E604" s="58" t="s">
        <v>678</v>
      </c>
      <c r="F604" s="58" t="s">
        <v>677</v>
      </c>
      <c r="G604" s="58">
        <v>0</v>
      </c>
      <c r="H604" s="59">
        <v>6225000</v>
      </c>
      <c r="I604" s="60">
        <v>0</v>
      </c>
      <c r="J604" s="59">
        <v>6225000</v>
      </c>
      <c r="K604" s="63">
        <v>44634</v>
      </c>
      <c r="L604" s="62" t="s">
        <v>330</v>
      </c>
    </row>
    <row r="605" spans="1:12" x14ac:dyDescent="0.25">
      <c r="A605" s="57" t="s">
        <v>107</v>
      </c>
      <c r="B605" s="58" t="s">
        <v>108</v>
      </c>
      <c r="C605" s="58" t="s">
        <v>676</v>
      </c>
      <c r="D605" s="58" t="s">
        <v>7</v>
      </c>
      <c r="E605" s="58" t="s">
        <v>675</v>
      </c>
      <c r="F605" s="58" t="s">
        <v>109</v>
      </c>
      <c r="G605" s="58">
        <v>0.16370000000000001</v>
      </c>
      <c r="H605" s="59">
        <v>7848019.5300000003</v>
      </c>
      <c r="I605" s="60">
        <v>1284711.8999999999</v>
      </c>
      <c r="J605" s="59">
        <v>6563307.6300000008</v>
      </c>
      <c r="K605" s="63">
        <v>45986</v>
      </c>
      <c r="L605" s="64">
        <v>46351</v>
      </c>
    </row>
    <row r="606" spans="1:12" x14ac:dyDescent="0.25">
      <c r="A606" s="57" t="s">
        <v>324</v>
      </c>
      <c r="B606" s="58" t="s">
        <v>108</v>
      </c>
      <c r="C606" s="58" t="s">
        <v>674</v>
      </c>
      <c r="D606" s="58" t="s">
        <v>426</v>
      </c>
      <c r="E606" s="58" t="s">
        <v>673</v>
      </c>
      <c r="F606" s="58" t="s">
        <v>672</v>
      </c>
      <c r="G606" s="58">
        <v>0.53639999999999999</v>
      </c>
      <c r="H606" s="59">
        <v>16932981.449999999</v>
      </c>
      <c r="I606" s="60">
        <v>9082408.6699999999</v>
      </c>
      <c r="J606" s="59">
        <v>7850572.7799999993</v>
      </c>
      <c r="K606" s="63">
        <v>44791</v>
      </c>
      <c r="L606" s="64">
        <v>45393</v>
      </c>
    </row>
    <row r="607" spans="1:12" x14ac:dyDescent="0.25">
      <c r="A607" s="57" t="s">
        <v>318</v>
      </c>
      <c r="B607" s="58" t="s">
        <v>108</v>
      </c>
      <c r="C607" s="58" t="s">
        <v>671</v>
      </c>
      <c r="D607" s="58" t="s">
        <v>7</v>
      </c>
      <c r="E607" s="58" t="s">
        <v>670</v>
      </c>
      <c r="F607" s="58" t="s">
        <v>669</v>
      </c>
      <c r="G607" s="58">
        <v>0.60429999999999995</v>
      </c>
      <c r="H607" s="59">
        <v>24187461.93</v>
      </c>
      <c r="I607" s="60">
        <v>14615806.689999999</v>
      </c>
      <c r="J607" s="59">
        <v>9571655.2400000002</v>
      </c>
      <c r="K607" s="63">
        <v>45723</v>
      </c>
      <c r="L607" s="64">
        <v>46203</v>
      </c>
    </row>
    <row r="608" spans="1:12" x14ac:dyDescent="0.25">
      <c r="A608" s="57" t="s">
        <v>668</v>
      </c>
      <c r="B608" s="58" t="s">
        <v>108</v>
      </c>
      <c r="C608" s="58"/>
      <c r="D608" s="58" t="s">
        <v>339</v>
      </c>
      <c r="E608" s="58" t="s">
        <v>667</v>
      </c>
      <c r="F608" s="58" t="s">
        <v>337</v>
      </c>
      <c r="G608" s="58">
        <v>0</v>
      </c>
      <c r="H608" s="59">
        <v>9654315.8300000001</v>
      </c>
      <c r="I608" s="60">
        <v>0</v>
      </c>
      <c r="J608" s="59">
        <v>9654315.8300000001</v>
      </c>
      <c r="K608" s="61" t="s">
        <v>330</v>
      </c>
      <c r="L608" s="62" t="s">
        <v>330</v>
      </c>
    </row>
    <row r="609" spans="1:12" x14ac:dyDescent="0.25">
      <c r="A609" s="57" t="s">
        <v>290</v>
      </c>
      <c r="B609" s="58" t="s">
        <v>108</v>
      </c>
      <c r="C609" s="58" t="s">
        <v>666</v>
      </c>
      <c r="D609" s="58" t="s">
        <v>7</v>
      </c>
      <c r="E609" s="58" t="s">
        <v>665</v>
      </c>
      <c r="F609" s="58" t="s">
        <v>664</v>
      </c>
      <c r="G609" s="58">
        <v>0.85040000000000004</v>
      </c>
      <c r="H609" s="59">
        <v>74609626.420000002</v>
      </c>
      <c r="I609" s="60">
        <v>63449041.490000002</v>
      </c>
      <c r="J609" s="59">
        <v>11160584.93</v>
      </c>
      <c r="K609" s="63">
        <v>45555</v>
      </c>
      <c r="L609" s="64">
        <v>46112</v>
      </c>
    </row>
    <row r="610" spans="1:12" x14ac:dyDescent="0.25">
      <c r="A610" s="57" t="s">
        <v>663</v>
      </c>
      <c r="B610" s="58" t="s">
        <v>108</v>
      </c>
      <c r="C610" s="58"/>
      <c r="D610" s="58" t="s">
        <v>332</v>
      </c>
      <c r="E610" s="58" t="s">
        <v>662</v>
      </c>
      <c r="F610" s="58" t="s">
        <v>337</v>
      </c>
      <c r="G610" s="58">
        <v>0</v>
      </c>
      <c r="H610" s="59">
        <v>11397006.609999999</v>
      </c>
      <c r="I610" s="60">
        <v>0</v>
      </c>
      <c r="J610" s="59">
        <v>11397006.609999999</v>
      </c>
      <c r="K610" s="61" t="s">
        <v>330</v>
      </c>
      <c r="L610" s="62" t="s">
        <v>330</v>
      </c>
    </row>
    <row r="611" spans="1:12" x14ac:dyDescent="0.25">
      <c r="A611" s="57" t="s">
        <v>661</v>
      </c>
      <c r="B611" s="58" t="s">
        <v>108</v>
      </c>
      <c r="C611" s="58"/>
      <c r="D611" s="58" t="s">
        <v>332</v>
      </c>
      <c r="E611" s="58" t="s">
        <v>660</v>
      </c>
      <c r="F611" s="58" t="s">
        <v>337</v>
      </c>
      <c r="G611" s="58">
        <v>0</v>
      </c>
      <c r="H611" s="59">
        <v>11397006.609999999</v>
      </c>
      <c r="I611" s="60">
        <v>0</v>
      </c>
      <c r="J611" s="59">
        <v>11397006.609999999</v>
      </c>
      <c r="K611" s="61" t="s">
        <v>330</v>
      </c>
      <c r="L611" s="62" t="s">
        <v>330</v>
      </c>
    </row>
    <row r="612" spans="1:12" x14ac:dyDescent="0.25">
      <c r="A612" s="57" t="s">
        <v>316</v>
      </c>
      <c r="B612" s="58" t="s">
        <v>108</v>
      </c>
      <c r="C612" s="58" t="s">
        <v>659</v>
      </c>
      <c r="D612" s="58" t="s">
        <v>7</v>
      </c>
      <c r="E612" s="58" t="s">
        <v>658</v>
      </c>
      <c r="F612" s="58" t="s">
        <v>655</v>
      </c>
      <c r="G612" s="58">
        <v>0.15</v>
      </c>
      <c r="H612" s="59">
        <v>15203482.789999999</v>
      </c>
      <c r="I612" s="60">
        <v>2279930.0499999998</v>
      </c>
      <c r="J612" s="59">
        <v>12923552.739999998</v>
      </c>
      <c r="K612" s="63">
        <v>44757</v>
      </c>
      <c r="L612" s="64">
        <v>46287</v>
      </c>
    </row>
    <row r="613" spans="1:12" x14ac:dyDescent="0.25">
      <c r="A613" s="57" t="s">
        <v>310</v>
      </c>
      <c r="B613" s="58" t="s">
        <v>108</v>
      </c>
      <c r="C613" s="58" t="s">
        <v>657</v>
      </c>
      <c r="D613" s="58" t="s">
        <v>426</v>
      </c>
      <c r="E613" s="58" t="s">
        <v>656</v>
      </c>
      <c r="F613" s="58" t="s">
        <v>655</v>
      </c>
      <c r="G613" s="58">
        <v>2.1600000000000001E-2</v>
      </c>
      <c r="H613" s="59">
        <v>13677862.32</v>
      </c>
      <c r="I613" s="60">
        <v>296101.87</v>
      </c>
      <c r="J613" s="59">
        <v>13381760.450000001</v>
      </c>
      <c r="K613" s="63">
        <v>44581</v>
      </c>
      <c r="L613" s="64">
        <v>45561</v>
      </c>
    </row>
    <row r="614" spans="1:12" x14ac:dyDescent="0.25">
      <c r="A614" s="57" t="s">
        <v>654</v>
      </c>
      <c r="B614" s="58" t="s">
        <v>108</v>
      </c>
      <c r="C614" s="58" t="s">
        <v>653</v>
      </c>
      <c r="D614" s="58" t="s">
        <v>426</v>
      </c>
      <c r="E614" s="58" t="s">
        <v>652</v>
      </c>
      <c r="F614" s="58" t="s">
        <v>651</v>
      </c>
      <c r="G614" s="58">
        <v>0</v>
      </c>
      <c r="H614" s="59">
        <v>14144248.92</v>
      </c>
      <c r="I614" s="60">
        <v>0</v>
      </c>
      <c r="J614" s="59">
        <v>14144248.92</v>
      </c>
      <c r="K614" s="63">
        <v>41443</v>
      </c>
      <c r="L614" s="64">
        <v>44012</v>
      </c>
    </row>
    <row r="615" spans="1:12" x14ac:dyDescent="0.25">
      <c r="A615" s="57" t="s">
        <v>314</v>
      </c>
      <c r="B615" s="58" t="s">
        <v>108</v>
      </c>
      <c r="C615" s="58" t="s">
        <v>650</v>
      </c>
      <c r="D615" s="58" t="s">
        <v>426</v>
      </c>
      <c r="E615" s="58" t="s">
        <v>649</v>
      </c>
      <c r="F615" s="58" t="s">
        <v>611</v>
      </c>
      <c r="G615" s="58">
        <v>0.34749999999999998</v>
      </c>
      <c r="H615" s="59">
        <v>24165422.120000001</v>
      </c>
      <c r="I615" s="60">
        <v>8398407.2300000004</v>
      </c>
      <c r="J615" s="59">
        <v>15767014.890000001</v>
      </c>
      <c r="K615" s="63">
        <v>44538</v>
      </c>
      <c r="L615" s="64">
        <v>45426</v>
      </c>
    </row>
    <row r="616" spans="1:12" x14ac:dyDescent="0.25">
      <c r="A616" s="57" t="s">
        <v>648</v>
      </c>
      <c r="B616" s="58" t="s">
        <v>108</v>
      </c>
      <c r="C616" s="58"/>
      <c r="D616" s="58" t="s">
        <v>339</v>
      </c>
      <c r="E616" s="58" t="s">
        <v>647</v>
      </c>
      <c r="F616" s="58" t="s">
        <v>337</v>
      </c>
      <c r="G616" s="58">
        <v>0</v>
      </c>
      <c r="H616" s="59">
        <v>18934256.359999999</v>
      </c>
      <c r="I616" s="60">
        <v>0</v>
      </c>
      <c r="J616" s="59">
        <v>18934256.359999999</v>
      </c>
      <c r="K616" s="61" t="s">
        <v>330</v>
      </c>
      <c r="L616" s="62" t="s">
        <v>330</v>
      </c>
    </row>
    <row r="617" spans="1:12" x14ac:dyDescent="0.25">
      <c r="A617" s="57" t="s">
        <v>646</v>
      </c>
      <c r="B617" s="58" t="s">
        <v>108</v>
      </c>
      <c r="C617" s="58"/>
      <c r="D617" s="58" t="s">
        <v>332</v>
      </c>
      <c r="E617" s="58" t="s">
        <v>645</v>
      </c>
      <c r="F617" s="58" t="s">
        <v>337</v>
      </c>
      <c r="G617" s="58">
        <v>0</v>
      </c>
      <c r="H617" s="59">
        <v>19843068.649999999</v>
      </c>
      <c r="I617" s="60">
        <v>0</v>
      </c>
      <c r="J617" s="59">
        <v>19843068.649999999</v>
      </c>
      <c r="K617" s="61" t="s">
        <v>330</v>
      </c>
      <c r="L617" s="62" t="s">
        <v>330</v>
      </c>
    </row>
    <row r="618" spans="1:12" x14ac:dyDescent="0.25">
      <c r="A618" s="57" t="s">
        <v>644</v>
      </c>
      <c r="B618" s="58" t="s">
        <v>108</v>
      </c>
      <c r="C618" s="58"/>
      <c r="D618" s="58" t="s">
        <v>339</v>
      </c>
      <c r="E618" s="58" t="s">
        <v>643</v>
      </c>
      <c r="F618" s="58" t="s">
        <v>337</v>
      </c>
      <c r="G618" s="58">
        <v>0</v>
      </c>
      <c r="H618" s="59">
        <v>25325752.760000002</v>
      </c>
      <c r="I618" s="60">
        <v>0</v>
      </c>
      <c r="J618" s="59">
        <v>25325752.760000002</v>
      </c>
      <c r="K618" s="61" t="s">
        <v>330</v>
      </c>
      <c r="L618" s="62" t="s">
        <v>330</v>
      </c>
    </row>
    <row r="619" spans="1:12" x14ac:dyDescent="0.25">
      <c r="A619" s="57" t="s">
        <v>642</v>
      </c>
      <c r="B619" s="58" t="s">
        <v>108</v>
      </c>
      <c r="C619" s="58"/>
      <c r="D619" s="58" t="s">
        <v>339</v>
      </c>
      <c r="E619" s="58" t="s">
        <v>641</v>
      </c>
      <c r="F619" s="58" t="s">
        <v>337</v>
      </c>
      <c r="G619" s="58">
        <v>0</v>
      </c>
      <c r="H619" s="59">
        <v>26794256.120000001</v>
      </c>
      <c r="I619" s="60">
        <v>0</v>
      </c>
      <c r="J619" s="59">
        <v>26794256.120000001</v>
      </c>
      <c r="K619" s="61" t="s">
        <v>330</v>
      </c>
      <c r="L619" s="62" t="s">
        <v>330</v>
      </c>
    </row>
    <row r="620" spans="1:12" x14ac:dyDescent="0.25">
      <c r="A620" s="57" t="s">
        <v>640</v>
      </c>
      <c r="B620" s="58" t="s">
        <v>108</v>
      </c>
      <c r="C620" s="58"/>
      <c r="D620" s="58" t="s">
        <v>367</v>
      </c>
      <c r="E620" s="58" t="s">
        <v>639</v>
      </c>
      <c r="F620" s="58" t="s">
        <v>337</v>
      </c>
      <c r="G620" s="58">
        <v>0</v>
      </c>
      <c r="H620" s="59">
        <v>28954149.079999998</v>
      </c>
      <c r="I620" s="60">
        <v>0</v>
      </c>
      <c r="J620" s="59">
        <v>28954149.079999998</v>
      </c>
      <c r="K620" s="61" t="s">
        <v>330</v>
      </c>
      <c r="L620" s="62" t="s">
        <v>330</v>
      </c>
    </row>
    <row r="621" spans="1:12" x14ac:dyDescent="0.25">
      <c r="A621" s="57" t="s">
        <v>638</v>
      </c>
      <c r="B621" s="58" t="s">
        <v>108</v>
      </c>
      <c r="C621" s="58"/>
      <c r="D621" s="58" t="s">
        <v>367</v>
      </c>
      <c r="E621" s="58" t="s">
        <v>637</v>
      </c>
      <c r="F621" s="58" t="s">
        <v>337</v>
      </c>
      <c r="G621" s="65" t="s">
        <v>330</v>
      </c>
      <c r="H621" s="59">
        <v>32217971.920000002</v>
      </c>
      <c r="I621" s="60">
        <v>0</v>
      </c>
      <c r="J621" s="59">
        <v>32217971.920000002</v>
      </c>
      <c r="K621" s="61" t="s">
        <v>330</v>
      </c>
      <c r="L621" s="62" t="s">
        <v>330</v>
      </c>
    </row>
    <row r="622" spans="1:12" x14ac:dyDescent="0.25">
      <c r="A622" s="57" t="s">
        <v>636</v>
      </c>
      <c r="B622" s="58" t="s">
        <v>108</v>
      </c>
      <c r="C622" s="58"/>
      <c r="D622" s="58" t="s">
        <v>339</v>
      </c>
      <c r="E622" s="58" t="s">
        <v>635</v>
      </c>
      <c r="F622" s="58" t="s">
        <v>337</v>
      </c>
      <c r="G622" s="58">
        <v>0</v>
      </c>
      <c r="H622" s="59">
        <v>40589522.399999999</v>
      </c>
      <c r="I622" s="60">
        <v>0</v>
      </c>
      <c r="J622" s="59">
        <v>40589522.399999999</v>
      </c>
      <c r="K622" s="61" t="s">
        <v>330</v>
      </c>
      <c r="L622" s="62" t="s">
        <v>330</v>
      </c>
    </row>
    <row r="623" spans="1:12" x14ac:dyDescent="0.25">
      <c r="A623" s="57" t="s">
        <v>634</v>
      </c>
      <c r="B623" s="58" t="s">
        <v>108</v>
      </c>
      <c r="C623" s="58"/>
      <c r="D623" s="58" t="s">
        <v>339</v>
      </c>
      <c r="E623" s="58" t="s">
        <v>633</v>
      </c>
      <c r="F623" s="58" t="s">
        <v>337</v>
      </c>
      <c r="G623" s="58">
        <v>0</v>
      </c>
      <c r="H623" s="59">
        <v>44994165.670000002</v>
      </c>
      <c r="I623" s="60">
        <v>0</v>
      </c>
      <c r="J623" s="59">
        <v>44994165.670000002</v>
      </c>
      <c r="K623" s="61" t="s">
        <v>330</v>
      </c>
      <c r="L623" s="62" t="s">
        <v>330</v>
      </c>
    </row>
    <row r="624" spans="1:12" x14ac:dyDescent="0.25">
      <c r="A624" s="57" t="s">
        <v>632</v>
      </c>
      <c r="B624" s="58" t="s">
        <v>108</v>
      </c>
      <c r="C624" s="58"/>
      <c r="D624" s="58" t="s">
        <v>339</v>
      </c>
      <c r="E624" s="58" t="s">
        <v>631</v>
      </c>
      <c r="F624" s="58" t="s">
        <v>337</v>
      </c>
      <c r="G624" s="58">
        <v>0</v>
      </c>
      <c r="H624" s="59">
        <v>49855579.210000001</v>
      </c>
      <c r="I624" s="60">
        <v>0</v>
      </c>
      <c r="J624" s="59">
        <v>49855579.210000001</v>
      </c>
      <c r="K624" s="61" t="s">
        <v>330</v>
      </c>
      <c r="L624" s="62" t="s">
        <v>330</v>
      </c>
    </row>
    <row r="625" spans="1:12" x14ac:dyDescent="0.25">
      <c r="A625" s="57" t="s">
        <v>630</v>
      </c>
      <c r="B625" s="58" t="s">
        <v>108</v>
      </c>
      <c r="C625" s="58"/>
      <c r="D625" s="58" t="s">
        <v>332</v>
      </c>
      <c r="E625" s="58" t="s">
        <v>629</v>
      </c>
      <c r="F625" s="58" t="s">
        <v>337</v>
      </c>
      <c r="G625" s="58">
        <v>0</v>
      </c>
      <c r="H625" s="59">
        <v>50235000</v>
      </c>
      <c r="I625" s="60">
        <v>0</v>
      </c>
      <c r="J625" s="59">
        <v>50235000</v>
      </c>
      <c r="K625" s="61" t="s">
        <v>330</v>
      </c>
      <c r="L625" s="62" t="s">
        <v>330</v>
      </c>
    </row>
    <row r="626" spans="1:12" x14ac:dyDescent="0.25">
      <c r="A626" s="57" t="s">
        <v>326</v>
      </c>
      <c r="B626" s="58" t="s">
        <v>108</v>
      </c>
      <c r="C626" s="58" t="s">
        <v>628</v>
      </c>
      <c r="D626" s="58" t="s">
        <v>7</v>
      </c>
      <c r="E626" s="58" t="s">
        <v>627</v>
      </c>
      <c r="F626" s="58" t="s">
        <v>626</v>
      </c>
      <c r="G626" s="58">
        <v>0.51690000000000003</v>
      </c>
      <c r="H626" s="59">
        <v>104939756.55</v>
      </c>
      <c r="I626" s="60">
        <v>54247297.539999999</v>
      </c>
      <c r="J626" s="59">
        <v>50692459.009999998</v>
      </c>
      <c r="K626" s="63">
        <v>45624</v>
      </c>
      <c r="L626" s="64">
        <v>46074</v>
      </c>
    </row>
    <row r="627" spans="1:12" x14ac:dyDescent="0.25">
      <c r="A627" s="57" t="s">
        <v>625</v>
      </c>
      <c r="B627" s="58" t="s">
        <v>108</v>
      </c>
      <c r="C627" s="58"/>
      <c r="D627" s="58" t="s">
        <v>332</v>
      </c>
      <c r="E627" s="58" t="s">
        <v>624</v>
      </c>
      <c r="F627" s="58" t="s">
        <v>337</v>
      </c>
      <c r="G627" s="58">
        <v>0</v>
      </c>
      <c r="H627" s="59">
        <v>59443429.219999999</v>
      </c>
      <c r="I627" s="60">
        <v>0</v>
      </c>
      <c r="J627" s="59">
        <v>59443429.219999999</v>
      </c>
      <c r="K627" s="61" t="s">
        <v>330</v>
      </c>
      <c r="L627" s="62" t="s">
        <v>330</v>
      </c>
    </row>
    <row r="628" spans="1:12" x14ac:dyDescent="0.25">
      <c r="A628" s="57" t="s">
        <v>623</v>
      </c>
      <c r="B628" s="58" t="s">
        <v>108</v>
      </c>
      <c r="C628" s="58"/>
      <c r="D628" s="58" t="s">
        <v>367</v>
      </c>
      <c r="E628" s="58" t="s">
        <v>622</v>
      </c>
      <c r="F628" s="58" t="s">
        <v>337</v>
      </c>
      <c r="G628" s="58">
        <v>0</v>
      </c>
      <c r="H628" s="59">
        <v>60598321.939999998</v>
      </c>
      <c r="I628" s="60">
        <v>0</v>
      </c>
      <c r="J628" s="59">
        <v>60598321.939999998</v>
      </c>
      <c r="K628" s="61" t="s">
        <v>330</v>
      </c>
      <c r="L628" s="62" t="s">
        <v>330</v>
      </c>
    </row>
    <row r="629" spans="1:12" x14ac:dyDescent="0.25">
      <c r="A629" s="57" t="s">
        <v>621</v>
      </c>
      <c r="B629" s="58" t="s">
        <v>108</v>
      </c>
      <c r="C629" s="58"/>
      <c r="D629" s="58" t="s">
        <v>339</v>
      </c>
      <c r="E629" s="58" t="s">
        <v>620</v>
      </c>
      <c r="F629" s="58" t="s">
        <v>337</v>
      </c>
      <c r="G629" s="58">
        <v>0</v>
      </c>
      <c r="H629" s="59">
        <v>75122626.849999994</v>
      </c>
      <c r="I629" s="60">
        <v>0</v>
      </c>
      <c r="J629" s="59">
        <v>75122626.849999994</v>
      </c>
      <c r="K629" s="61" t="s">
        <v>330</v>
      </c>
      <c r="L629" s="62" t="s">
        <v>330</v>
      </c>
    </row>
    <row r="630" spans="1:12" x14ac:dyDescent="0.25">
      <c r="A630" s="57" t="s">
        <v>619</v>
      </c>
      <c r="B630" s="58" t="s">
        <v>108</v>
      </c>
      <c r="C630" s="58"/>
      <c r="D630" s="58" t="s">
        <v>332</v>
      </c>
      <c r="E630" s="58" t="s">
        <v>618</v>
      </c>
      <c r="F630" s="58" t="s">
        <v>337</v>
      </c>
      <c r="G630" s="58">
        <v>0</v>
      </c>
      <c r="H630" s="59">
        <v>75122626.849999994</v>
      </c>
      <c r="I630" s="60">
        <v>0</v>
      </c>
      <c r="J630" s="59">
        <v>75122626.849999994</v>
      </c>
      <c r="K630" s="61" t="s">
        <v>330</v>
      </c>
      <c r="L630" s="62" t="s">
        <v>330</v>
      </c>
    </row>
    <row r="631" spans="1:12" x14ac:dyDescent="0.25">
      <c r="A631" s="57" t="s">
        <v>617</v>
      </c>
      <c r="B631" s="58" t="s">
        <v>108</v>
      </c>
      <c r="C631" s="58"/>
      <c r="D631" s="58" t="s">
        <v>332</v>
      </c>
      <c r="E631" s="58" t="s">
        <v>616</v>
      </c>
      <c r="F631" s="58" t="s">
        <v>337</v>
      </c>
      <c r="G631" s="58">
        <v>0</v>
      </c>
      <c r="H631" s="59">
        <v>78021724.829999998</v>
      </c>
      <c r="I631" s="60">
        <v>0</v>
      </c>
      <c r="J631" s="59">
        <v>78021724.829999998</v>
      </c>
      <c r="K631" s="61" t="s">
        <v>330</v>
      </c>
      <c r="L631" s="62" t="s">
        <v>330</v>
      </c>
    </row>
    <row r="632" spans="1:12" x14ac:dyDescent="0.25">
      <c r="A632" s="57" t="s">
        <v>615</v>
      </c>
      <c r="B632" s="58" t="s">
        <v>108</v>
      </c>
      <c r="C632" s="58"/>
      <c r="D632" s="58" t="s">
        <v>367</v>
      </c>
      <c r="E632" s="58" t="s">
        <v>614</v>
      </c>
      <c r="F632" s="58" t="s">
        <v>337</v>
      </c>
      <c r="G632" s="58">
        <v>0</v>
      </c>
      <c r="H632" s="59">
        <v>90311760</v>
      </c>
      <c r="I632" s="60">
        <v>0</v>
      </c>
      <c r="J632" s="59">
        <v>90311760</v>
      </c>
      <c r="K632" s="61" t="s">
        <v>330</v>
      </c>
      <c r="L632" s="62" t="s">
        <v>330</v>
      </c>
    </row>
    <row r="633" spans="1:12" x14ac:dyDescent="0.25">
      <c r="A633" s="57" t="s">
        <v>302</v>
      </c>
      <c r="B633" s="58" t="s">
        <v>108</v>
      </c>
      <c r="C633" s="58" t="s">
        <v>613</v>
      </c>
      <c r="D633" s="58" t="s">
        <v>7</v>
      </c>
      <c r="E633" s="58" t="s">
        <v>612</v>
      </c>
      <c r="F633" s="58" t="s">
        <v>611</v>
      </c>
      <c r="G633" s="58">
        <v>0.18899999999999997</v>
      </c>
      <c r="H633" s="59">
        <v>116500000</v>
      </c>
      <c r="I633" s="60">
        <v>22022321.059999999</v>
      </c>
      <c r="J633" s="59">
        <v>94477678.939999998</v>
      </c>
      <c r="K633" s="63">
        <v>45897</v>
      </c>
      <c r="L633" s="64">
        <v>46107</v>
      </c>
    </row>
    <row r="634" spans="1:12" x14ac:dyDescent="0.25">
      <c r="A634" s="57" t="s">
        <v>610</v>
      </c>
      <c r="B634" s="58" t="s">
        <v>108</v>
      </c>
      <c r="C634" s="58"/>
      <c r="D634" s="58" t="s">
        <v>332</v>
      </c>
      <c r="E634" s="58" t="s">
        <v>609</v>
      </c>
      <c r="F634" s="58" t="s">
        <v>337</v>
      </c>
      <c r="G634" s="58">
        <v>0</v>
      </c>
      <c r="H634" s="59">
        <v>201720000</v>
      </c>
      <c r="I634" s="60">
        <v>0</v>
      </c>
      <c r="J634" s="59">
        <v>201720000</v>
      </c>
      <c r="K634" s="61" t="s">
        <v>330</v>
      </c>
      <c r="L634" s="62" t="s">
        <v>330</v>
      </c>
    </row>
    <row r="635" spans="1:12" x14ac:dyDescent="0.25">
      <c r="A635" s="57" t="s">
        <v>608</v>
      </c>
      <c r="B635" s="58" t="s">
        <v>108</v>
      </c>
      <c r="C635" s="58"/>
      <c r="D635" s="58" t="s">
        <v>339</v>
      </c>
      <c r="E635" s="58" t="s">
        <v>607</v>
      </c>
      <c r="F635" s="58" t="s">
        <v>337</v>
      </c>
      <c r="G635" s="58">
        <v>0</v>
      </c>
      <c r="H635" s="59">
        <v>303993156.95999998</v>
      </c>
      <c r="I635" s="60">
        <v>0</v>
      </c>
      <c r="J635" s="59">
        <v>303993156.95999998</v>
      </c>
      <c r="K635" s="61" t="s">
        <v>330</v>
      </c>
      <c r="L635" s="62" t="s">
        <v>330</v>
      </c>
    </row>
    <row r="636" spans="1:12" x14ac:dyDescent="0.25">
      <c r="A636" s="57" t="s">
        <v>606</v>
      </c>
      <c r="B636" s="58" t="s">
        <v>605</v>
      </c>
      <c r="C636" s="58"/>
      <c r="D636" s="58" t="s">
        <v>339</v>
      </c>
      <c r="E636" s="58" t="s">
        <v>604</v>
      </c>
      <c r="F636" s="58" t="s">
        <v>337</v>
      </c>
      <c r="G636" s="58">
        <v>0</v>
      </c>
      <c r="H636" s="59">
        <v>3347091.8</v>
      </c>
      <c r="I636" s="60">
        <v>0</v>
      </c>
      <c r="J636" s="59">
        <v>3347091.8</v>
      </c>
      <c r="K636" s="61" t="s">
        <v>330</v>
      </c>
      <c r="L636" s="62" t="s">
        <v>330</v>
      </c>
    </row>
    <row r="637" spans="1:12" x14ac:dyDescent="0.25">
      <c r="A637" s="57" t="s">
        <v>603</v>
      </c>
      <c r="B637" s="58" t="s">
        <v>596</v>
      </c>
      <c r="C637" s="58"/>
      <c r="D637" s="58" t="s">
        <v>332</v>
      </c>
      <c r="E637" s="58" t="s">
        <v>602</v>
      </c>
      <c r="F637" s="58" t="s">
        <v>337</v>
      </c>
      <c r="G637" s="58">
        <v>0</v>
      </c>
      <c r="H637" s="59">
        <v>503890.79</v>
      </c>
      <c r="I637" s="60">
        <v>0</v>
      </c>
      <c r="J637" s="59">
        <v>503890.79</v>
      </c>
      <c r="K637" s="61" t="s">
        <v>330</v>
      </c>
      <c r="L637" s="62" t="s">
        <v>330</v>
      </c>
    </row>
    <row r="638" spans="1:12" x14ac:dyDescent="0.25">
      <c r="A638" s="57" t="s">
        <v>601</v>
      </c>
      <c r="B638" s="58" t="s">
        <v>596</v>
      </c>
      <c r="C638" s="58"/>
      <c r="D638" s="58" t="s">
        <v>332</v>
      </c>
      <c r="E638" s="58" t="s">
        <v>600</v>
      </c>
      <c r="F638" s="58" t="s">
        <v>337</v>
      </c>
      <c r="G638" s="58">
        <v>0</v>
      </c>
      <c r="H638" s="59">
        <v>828629.65</v>
      </c>
      <c r="I638" s="60">
        <v>0</v>
      </c>
      <c r="J638" s="59">
        <v>828629.65</v>
      </c>
      <c r="K638" s="61" t="s">
        <v>330</v>
      </c>
      <c r="L638" s="62" t="s">
        <v>330</v>
      </c>
    </row>
    <row r="639" spans="1:12" x14ac:dyDescent="0.25">
      <c r="A639" s="57" t="s">
        <v>599</v>
      </c>
      <c r="B639" s="58" t="s">
        <v>596</v>
      </c>
      <c r="C639" s="58"/>
      <c r="D639" s="58" t="s">
        <v>332</v>
      </c>
      <c r="E639" s="58" t="s">
        <v>598</v>
      </c>
      <c r="F639" s="58" t="s">
        <v>337</v>
      </c>
      <c r="G639" s="58">
        <v>0</v>
      </c>
      <c r="H639" s="59">
        <v>1047236.88</v>
      </c>
      <c r="I639" s="60">
        <v>0</v>
      </c>
      <c r="J639" s="59">
        <v>1047236.88</v>
      </c>
      <c r="K639" s="61" t="s">
        <v>330</v>
      </c>
      <c r="L639" s="62" t="s">
        <v>330</v>
      </c>
    </row>
    <row r="640" spans="1:12" x14ac:dyDescent="0.25">
      <c r="A640" s="57" t="s">
        <v>597</v>
      </c>
      <c r="B640" s="58" t="s">
        <v>596</v>
      </c>
      <c r="C640" s="58"/>
      <c r="D640" s="58" t="s">
        <v>332</v>
      </c>
      <c r="E640" s="58" t="s">
        <v>595</v>
      </c>
      <c r="F640" s="58" t="s">
        <v>337</v>
      </c>
      <c r="G640" s="58">
        <v>0</v>
      </c>
      <c r="H640" s="59">
        <v>18298764.789999999</v>
      </c>
      <c r="I640" s="60">
        <v>0</v>
      </c>
      <c r="J640" s="59">
        <v>18298764.789999999</v>
      </c>
      <c r="K640" s="61" t="s">
        <v>330</v>
      </c>
      <c r="L640" s="62" t="s">
        <v>330</v>
      </c>
    </row>
    <row r="641" spans="1:12" x14ac:dyDescent="0.25">
      <c r="A641" s="57" t="s">
        <v>178</v>
      </c>
      <c r="B641" s="58" t="s">
        <v>589</v>
      </c>
      <c r="C641" s="58" t="s">
        <v>594</v>
      </c>
      <c r="D641" s="58" t="s">
        <v>355</v>
      </c>
      <c r="E641" s="58" t="s">
        <v>593</v>
      </c>
      <c r="F641" s="58" t="s">
        <v>462</v>
      </c>
      <c r="G641" s="58">
        <v>1</v>
      </c>
      <c r="H641" s="59">
        <v>10061005.41</v>
      </c>
      <c r="I641" s="60">
        <v>10061005.390000001</v>
      </c>
      <c r="J641" s="59">
        <v>1.9999999552965164E-2</v>
      </c>
      <c r="K641" s="63">
        <v>45261</v>
      </c>
      <c r="L641" s="64">
        <v>45833</v>
      </c>
    </row>
    <row r="642" spans="1:12" x14ac:dyDescent="0.25">
      <c r="A642" s="57" t="s">
        <v>592</v>
      </c>
      <c r="B642" s="58" t="s">
        <v>589</v>
      </c>
      <c r="C642" s="58"/>
      <c r="D642" s="58" t="s">
        <v>332</v>
      </c>
      <c r="E642" s="58" t="s">
        <v>591</v>
      </c>
      <c r="F642" s="58" t="s">
        <v>337</v>
      </c>
      <c r="G642" s="58">
        <v>0</v>
      </c>
      <c r="H642" s="59">
        <v>2797306.59</v>
      </c>
      <c r="I642" s="60">
        <v>0</v>
      </c>
      <c r="J642" s="59">
        <v>2797306.59</v>
      </c>
      <c r="K642" s="61" t="s">
        <v>330</v>
      </c>
      <c r="L642" s="62" t="s">
        <v>330</v>
      </c>
    </row>
    <row r="643" spans="1:12" x14ac:dyDescent="0.25">
      <c r="A643" s="57" t="s">
        <v>590</v>
      </c>
      <c r="B643" s="58" t="s">
        <v>589</v>
      </c>
      <c r="C643" s="58"/>
      <c r="D643" s="58" t="s">
        <v>332</v>
      </c>
      <c r="E643" s="58" t="s">
        <v>588</v>
      </c>
      <c r="F643" s="58" t="s">
        <v>337</v>
      </c>
      <c r="G643" s="58">
        <v>0</v>
      </c>
      <c r="H643" s="59">
        <v>3290433.46</v>
      </c>
      <c r="I643" s="60">
        <v>0</v>
      </c>
      <c r="J643" s="59">
        <v>3290433.46</v>
      </c>
      <c r="K643" s="61" t="s">
        <v>330</v>
      </c>
      <c r="L643" s="62" t="s">
        <v>330</v>
      </c>
    </row>
    <row r="644" spans="1:12" x14ac:dyDescent="0.25">
      <c r="A644" s="57" t="s">
        <v>587</v>
      </c>
      <c r="B644" s="58" t="s">
        <v>564</v>
      </c>
      <c r="C644" s="58"/>
      <c r="D644" s="58" t="s">
        <v>332</v>
      </c>
      <c r="E644" s="58" t="s">
        <v>586</v>
      </c>
      <c r="F644" s="58" t="s">
        <v>337</v>
      </c>
      <c r="G644" s="58">
        <v>0</v>
      </c>
      <c r="H644" s="59">
        <v>0</v>
      </c>
      <c r="I644" s="60">
        <v>0</v>
      </c>
      <c r="J644" s="59">
        <v>0</v>
      </c>
      <c r="K644" s="61" t="s">
        <v>330</v>
      </c>
      <c r="L644" s="62" t="s">
        <v>330</v>
      </c>
    </row>
    <row r="645" spans="1:12" x14ac:dyDescent="0.25">
      <c r="A645" s="57" t="s">
        <v>585</v>
      </c>
      <c r="B645" s="58" t="s">
        <v>564</v>
      </c>
      <c r="C645" s="58" t="s">
        <v>584</v>
      </c>
      <c r="D645" s="58" t="s">
        <v>396</v>
      </c>
      <c r="E645" s="58" t="s">
        <v>583</v>
      </c>
      <c r="F645" s="58" t="s">
        <v>582</v>
      </c>
      <c r="G645" s="58">
        <v>0.96779999999999999</v>
      </c>
      <c r="H645" s="59">
        <v>10800033.699999999</v>
      </c>
      <c r="I645" s="60">
        <v>10451959.33</v>
      </c>
      <c r="J645" s="59">
        <v>348074.36999999918</v>
      </c>
      <c r="K645" s="63">
        <v>44824</v>
      </c>
      <c r="L645" s="62" t="s">
        <v>330</v>
      </c>
    </row>
    <row r="646" spans="1:12" x14ac:dyDescent="0.25">
      <c r="A646" s="57" t="s">
        <v>581</v>
      </c>
      <c r="B646" s="58" t="s">
        <v>564</v>
      </c>
      <c r="C646" s="58" t="s">
        <v>580</v>
      </c>
      <c r="D646" s="58" t="s">
        <v>396</v>
      </c>
      <c r="E646" s="58" t="s">
        <v>579</v>
      </c>
      <c r="F646" s="58" t="s">
        <v>424</v>
      </c>
      <c r="G646" s="58">
        <v>0.49399999999999999</v>
      </c>
      <c r="H646" s="59">
        <v>12765448.59</v>
      </c>
      <c r="I646" s="60">
        <v>6306728.4299999997</v>
      </c>
      <c r="J646" s="59">
        <v>6458720.1600000001</v>
      </c>
      <c r="K646" s="63">
        <v>44803</v>
      </c>
      <c r="L646" s="62" t="s">
        <v>330</v>
      </c>
    </row>
    <row r="647" spans="1:12" x14ac:dyDescent="0.25">
      <c r="A647" s="57" t="s">
        <v>578</v>
      </c>
      <c r="B647" s="58" t="s">
        <v>564</v>
      </c>
      <c r="C647" s="58"/>
      <c r="D647" s="58" t="s">
        <v>396</v>
      </c>
      <c r="E647" s="58" t="s">
        <v>577</v>
      </c>
      <c r="F647" s="58" t="s">
        <v>337</v>
      </c>
      <c r="G647" s="58">
        <v>0</v>
      </c>
      <c r="H647" s="59">
        <v>18285344.699999999</v>
      </c>
      <c r="I647" s="60">
        <v>0</v>
      </c>
      <c r="J647" s="59">
        <v>18285344.699999999</v>
      </c>
      <c r="K647" s="61" t="s">
        <v>330</v>
      </c>
      <c r="L647" s="62" t="s">
        <v>330</v>
      </c>
    </row>
    <row r="648" spans="1:12" x14ac:dyDescent="0.25">
      <c r="A648" s="57" t="s">
        <v>576</v>
      </c>
      <c r="B648" s="58" t="s">
        <v>564</v>
      </c>
      <c r="C648" s="58" t="s">
        <v>575</v>
      </c>
      <c r="D648" s="58" t="s">
        <v>396</v>
      </c>
      <c r="E648" s="58" t="s">
        <v>574</v>
      </c>
      <c r="F648" s="58" t="s">
        <v>424</v>
      </c>
      <c r="G648" s="58">
        <v>0.37170000000000003</v>
      </c>
      <c r="H648" s="59">
        <v>34224554.469999999</v>
      </c>
      <c r="I648" s="60">
        <v>12722837.630000001</v>
      </c>
      <c r="J648" s="59">
        <v>21501716.839999996</v>
      </c>
      <c r="K648" s="63">
        <v>44869</v>
      </c>
      <c r="L648" s="62" t="s">
        <v>330</v>
      </c>
    </row>
    <row r="649" spans="1:12" x14ac:dyDescent="0.25">
      <c r="A649" s="57" t="s">
        <v>573</v>
      </c>
      <c r="B649" s="58" t="s">
        <v>564</v>
      </c>
      <c r="C649" s="58"/>
      <c r="D649" s="58" t="s">
        <v>339</v>
      </c>
      <c r="E649" s="58" t="s">
        <v>572</v>
      </c>
      <c r="F649" s="58" t="s">
        <v>337</v>
      </c>
      <c r="G649" s="58">
        <v>0</v>
      </c>
      <c r="H649" s="59">
        <v>96830542.560000002</v>
      </c>
      <c r="I649" s="60">
        <v>0</v>
      </c>
      <c r="J649" s="59">
        <v>96830542.560000002</v>
      </c>
      <c r="K649" s="61" t="s">
        <v>330</v>
      </c>
      <c r="L649" s="62" t="s">
        <v>330</v>
      </c>
    </row>
    <row r="650" spans="1:12" x14ac:dyDescent="0.25">
      <c r="A650" s="57" t="s">
        <v>571</v>
      </c>
      <c r="B650" s="58" t="s">
        <v>564</v>
      </c>
      <c r="C650" s="58"/>
      <c r="D650" s="58" t="s">
        <v>396</v>
      </c>
      <c r="E650" s="58" t="s">
        <v>570</v>
      </c>
      <c r="F650" s="58" t="s">
        <v>337</v>
      </c>
      <c r="G650" s="58">
        <v>0</v>
      </c>
      <c r="H650" s="59">
        <v>144200395.30000001</v>
      </c>
      <c r="I650" s="60">
        <v>0</v>
      </c>
      <c r="J650" s="59">
        <v>144200395.30000001</v>
      </c>
      <c r="K650" s="61" t="s">
        <v>330</v>
      </c>
      <c r="L650" s="62" t="s">
        <v>330</v>
      </c>
    </row>
    <row r="651" spans="1:12" x14ac:dyDescent="0.25">
      <c r="A651" s="57" t="s">
        <v>569</v>
      </c>
      <c r="B651" s="58" t="s">
        <v>564</v>
      </c>
      <c r="C651" s="58" t="s">
        <v>568</v>
      </c>
      <c r="D651" s="58" t="s">
        <v>396</v>
      </c>
      <c r="E651" s="58" t="s">
        <v>567</v>
      </c>
      <c r="F651" s="58" t="s">
        <v>566</v>
      </c>
      <c r="G651" s="58">
        <v>0.12380000000000001</v>
      </c>
      <c r="H651" s="59">
        <v>252225720.44</v>
      </c>
      <c r="I651" s="60">
        <v>31220522.010000002</v>
      </c>
      <c r="J651" s="59">
        <v>221005198.43000001</v>
      </c>
      <c r="K651" s="63">
        <v>45083</v>
      </c>
      <c r="L651" s="62" t="s">
        <v>330</v>
      </c>
    </row>
    <row r="652" spans="1:12" x14ac:dyDescent="0.25">
      <c r="A652" s="57" t="s">
        <v>565</v>
      </c>
      <c r="B652" s="58" t="s">
        <v>564</v>
      </c>
      <c r="C652" s="58" t="s">
        <v>563</v>
      </c>
      <c r="D652" s="58" t="s">
        <v>396</v>
      </c>
      <c r="E652" s="58" t="s">
        <v>562</v>
      </c>
      <c r="F652" s="58" t="s">
        <v>561</v>
      </c>
      <c r="G652" s="58">
        <v>6.9199999999999998E-2</v>
      </c>
      <c r="H652" s="59">
        <v>262184615.50999999</v>
      </c>
      <c r="I652" s="60">
        <v>18137712.48</v>
      </c>
      <c r="J652" s="59">
        <v>244046903.03</v>
      </c>
      <c r="K652" s="63">
        <v>45084</v>
      </c>
      <c r="L652" s="62" t="s">
        <v>330</v>
      </c>
    </row>
    <row r="653" spans="1:12" x14ac:dyDescent="0.25">
      <c r="A653" s="57" t="s">
        <v>560</v>
      </c>
      <c r="B653" s="58" t="s">
        <v>31</v>
      </c>
      <c r="C653" s="58"/>
      <c r="D653" s="58" t="s">
        <v>332</v>
      </c>
      <c r="E653" s="58" t="s">
        <v>559</v>
      </c>
      <c r="F653" s="58" t="s">
        <v>337</v>
      </c>
      <c r="G653" s="58">
        <v>0</v>
      </c>
      <c r="H653" s="59">
        <v>0</v>
      </c>
      <c r="I653" s="60">
        <v>0</v>
      </c>
      <c r="J653" s="59">
        <v>0</v>
      </c>
      <c r="K653" s="61" t="s">
        <v>330</v>
      </c>
      <c r="L653" s="62" t="s">
        <v>330</v>
      </c>
    </row>
    <row r="654" spans="1:12" x14ac:dyDescent="0.25">
      <c r="A654" s="57" t="s">
        <v>558</v>
      </c>
      <c r="B654" s="58" t="s">
        <v>31</v>
      </c>
      <c r="C654" s="58"/>
      <c r="D654" s="58" t="s">
        <v>332</v>
      </c>
      <c r="E654" s="58" t="s">
        <v>557</v>
      </c>
      <c r="F654" s="58" t="s">
        <v>337</v>
      </c>
      <c r="G654" s="58">
        <v>0</v>
      </c>
      <c r="H654" s="59">
        <v>0</v>
      </c>
      <c r="I654" s="60">
        <v>0</v>
      </c>
      <c r="J654" s="59">
        <v>0</v>
      </c>
      <c r="K654" s="61" t="s">
        <v>330</v>
      </c>
      <c r="L654" s="62" t="s">
        <v>330</v>
      </c>
    </row>
    <row r="655" spans="1:12" x14ac:dyDescent="0.25">
      <c r="A655" s="57" t="s">
        <v>556</v>
      </c>
      <c r="B655" s="58" t="s">
        <v>31</v>
      </c>
      <c r="C655" s="58"/>
      <c r="D655" s="58" t="s">
        <v>332</v>
      </c>
      <c r="E655" s="58" t="s">
        <v>555</v>
      </c>
      <c r="F655" s="58" t="s">
        <v>337</v>
      </c>
      <c r="G655" s="58">
        <v>0</v>
      </c>
      <c r="H655" s="59">
        <v>0</v>
      </c>
      <c r="I655" s="60">
        <v>0</v>
      </c>
      <c r="J655" s="59">
        <v>0</v>
      </c>
      <c r="K655" s="61" t="s">
        <v>330</v>
      </c>
      <c r="L655" s="62" t="s">
        <v>330</v>
      </c>
    </row>
    <row r="656" spans="1:12" x14ac:dyDescent="0.25">
      <c r="A656" s="57" t="s">
        <v>554</v>
      </c>
      <c r="B656" s="58" t="s">
        <v>31</v>
      </c>
      <c r="C656" s="58"/>
      <c r="D656" s="58" t="s">
        <v>332</v>
      </c>
      <c r="E656" s="58" t="s">
        <v>553</v>
      </c>
      <c r="F656" s="58" t="s">
        <v>337</v>
      </c>
      <c r="G656" s="58">
        <v>0</v>
      </c>
      <c r="H656" s="59">
        <v>0</v>
      </c>
      <c r="I656" s="60">
        <v>0</v>
      </c>
      <c r="J656" s="59">
        <v>0</v>
      </c>
      <c r="K656" s="61" t="s">
        <v>330</v>
      </c>
      <c r="L656" s="62" t="s">
        <v>330</v>
      </c>
    </row>
    <row r="657" spans="1:12" x14ac:dyDescent="0.25">
      <c r="A657" s="57" t="s">
        <v>552</v>
      </c>
      <c r="B657" s="58" t="s">
        <v>31</v>
      </c>
      <c r="C657" s="58"/>
      <c r="D657" s="58" t="s">
        <v>332</v>
      </c>
      <c r="E657" s="58" t="s">
        <v>551</v>
      </c>
      <c r="F657" s="58" t="s">
        <v>337</v>
      </c>
      <c r="G657" s="58">
        <v>0</v>
      </c>
      <c r="H657" s="59">
        <v>0</v>
      </c>
      <c r="I657" s="60">
        <v>0</v>
      </c>
      <c r="J657" s="59">
        <v>0</v>
      </c>
      <c r="K657" s="61" t="s">
        <v>330</v>
      </c>
      <c r="L657" s="62" t="s">
        <v>330</v>
      </c>
    </row>
    <row r="658" spans="1:12" x14ac:dyDescent="0.25">
      <c r="A658" s="57" t="s">
        <v>550</v>
      </c>
      <c r="B658" s="58" t="s">
        <v>31</v>
      </c>
      <c r="C658" s="58"/>
      <c r="D658" s="58" t="s">
        <v>332</v>
      </c>
      <c r="E658" s="58" t="s">
        <v>549</v>
      </c>
      <c r="F658" s="58" t="s">
        <v>337</v>
      </c>
      <c r="G658" s="58">
        <v>0</v>
      </c>
      <c r="H658" s="59">
        <v>0</v>
      </c>
      <c r="I658" s="60">
        <v>0</v>
      </c>
      <c r="J658" s="59">
        <v>0</v>
      </c>
      <c r="K658" s="61" t="s">
        <v>330</v>
      </c>
      <c r="L658" s="62" t="s">
        <v>330</v>
      </c>
    </row>
    <row r="659" spans="1:12" x14ac:dyDescent="0.25">
      <c r="A659" s="57" t="s">
        <v>548</v>
      </c>
      <c r="B659" s="58" t="s">
        <v>31</v>
      </c>
      <c r="C659" s="58"/>
      <c r="D659" s="58" t="s">
        <v>332</v>
      </c>
      <c r="E659" s="58" t="s">
        <v>547</v>
      </c>
      <c r="F659" s="58" t="s">
        <v>337</v>
      </c>
      <c r="G659" s="58">
        <v>0</v>
      </c>
      <c r="H659" s="59">
        <v>0</v>
      </c>
      <c r="I659" s="60">
        <v>0</v>
      </c>
      <c r="J659" s="59">
        <v>0</v>
      </c>
      <c r="K659" s="61" t="s">
        <v>330</v>
      </c>
      <c r="L659" s="62" t="s">
        <v>330</v>
      </c>
    </row>
    <row r="660" spans="1:12" x14ac:dyDescent="0.25">
      <c r="A660" s="57" t="s">
        <v>546</v>
      </c>
      <c r="B660" s="58" t="s">
        <v>31</v>
      </c>
      <c r="C660" s="58"/>
      <c r="D660" s="58" t="s">
        <v>332</v>
      </c>
      <c r="E660" s="58" t="s">
        <v>545</v>
      </c>
      <c r="F660" s="58" t="s">
        <v>337</v>
      </c>
      <c r="G660" s="58">
        <v>0</v>
      </c>
      <c r="H660" s="59">
        <v>0</v>
      </c>
      <c r="I660" s="60">
        <v>0</v>
      </c>
      <c r="J660" s="59">
        <v>0</v>
      </c>
      <c r="K660" s="61" t="s">
        <v>330</v>
      </c>
      <c r="L660" s="62" t="s">
        <v>330</v>
      </c>
    </row>
    <row r="661" spans="1:12" x14ac:dyDescent="0.25">
      <c r="A661" s="57" t="s">
        <v>544</v>
      </c>
      <c r="B661" s="58" t="s">
        <v>31</v>
      </c>
      <c r="C661" s="58"/>
      <c r="D661" s="58" t="s">
        <v>332</v>
      </c>
      <c r="E661" s="58" t="s">
        <v>543</v>
      </c>
      <c r="F661" s="58" t="s">
        <v>337</v>
      </c>
      <c r="G661" s="58">
        <v>0</v>
      </c>
      <c r="H661" s="59">
        <v>0</v>
      </c>
      <c r="I661" s="60">
        <v>0</v>
      </c>
      <c r="J661" s="59">
        <v>0</v>
      </c>
      <c r="K661" s="61" t="s">
        <v>330</v>
      </c>
      <c r="L661" s="62" t="s">
        <v>330</v>
      </c>
    </row>
    <row r="662" spans="1:12" x14ac:dyDescent="0.25">
      <c r="A662" s="57" t="s">
        <v>110</v>
      </c>
      <c r="B662" s="58" t="s">
        <v>31</v>
      </c>
      <c r="C662" s="58" t="s">
        <v>542</v>
      </c>
      <c r="D662" s="58" t="s">
        <v>7</v>
      </c>
      <c r="E662" s="58" t="s">
        <v>541</v>
      </c>
      <c r="F662" s="58" t="s">
        <v>424</v>
      </c>
      <c r="G662" s="58">
        <v>1</v>
      </c>
      <c r="H662" s="59">
        <v>81950979.230000004</v>
      </c>
      <c r="I662" s="60">
        <v>81950979</v>
      </c>
      <c r="J662" s="59">
        <v>0.23000000417232513</v>
      </c>
      <c r="K662" s="63">
        <v>44792</v>
      </c>
      <c r="L662" s="64">
        <v>46022</v>
      </c>
    </row>
    <row r="663" spans="1:12" x14ac:dyDescent="0.25">
      <c r="A663" s="57" t="s">
        <v>540</v>
      </c>
      <c r="B663" s="58" t="s">
        <v>31</v>
      </c>
      <c r="C663" s="58"/>
      <c r="D663" s="58" t="s">
        <v>339</v>
      </c>
      <c r="E663" s="58" t="s">
        <v>539</v>
      </c>
      <c r="F663" s="58" t="s">
        <v>337</v>
      </c>
      <c r="G663" s="65" t="s">
        <v>330</v>
      </c>
      <c r="H663" s="59">
        <v>124355.53</v>
      </c>
      <c r="I663" s="60">
        <v>0</v>
      </c>
      <c r="J663" s="59">
        <v>124355.53</v>
      </c>
      <c r="K663" s="61" t="s">
        <v>330</v>
      </c>
      <c r="L663" s="62" t="s">
        <v>330</v>
      </c>
    </row>
    <row r="664" spans="1:12" x14ac:dyDescent="0.25">
      <c r="A664" s="57" t="s">
        <v>538</v>
      </c>
      <c r="B664" s="58" t="s">
        <v>31</v>
      </c>
      <c r="C664" s="58"/>
      <c r="D664" s="58" t="s">
        <v>332</v>
      </c>
      <c r="E664" s="58" t="s">
        <v>537</v>
      </c>
      <c r="F664" s="58" t="s">
        <v>337</v>
      </c>
      <c r="G664" s="58">
        <v>0</v>
      </c>
      <c r="H664" s="59">
        <v>143840.66</v>
      </c>
      <c r="I664" s="60">
        <v>0</v>
      </c>
      <c r="J664" s="59">
        <v>143840.66</v>
      </c>
      <c r="K664" s="61" t="s">
        <v>330</v>
      </c>
      <c r="L664" s="62" t="s">
        <v>330</v>
      </c>
    </row>
    <row r="665" spans="1:12" x14ac:dyDescent="0.25">
      <c r="A665" s="57" t="s">
        <v>536</v>
      </c>
      <c r="B665" s="58" t="s">
        <v>31</v>
      </c>
      <c r="C665" s="58"/>
      <c r="D665" s="58" t="s">
        <v>332</v>
      </c>
      <c r="E665" s="58" t="s">
        <v>535</v>
      </c>
      <c r="F665" s="58" t="s">
        <v>337</v>
      </c>
      <c r="G665" s="58">
        <v>0</v>
      </c>
      <c r="H665" s="59">
        <v>750000</v>
      </c>
      <c r="I665" s="60">
        <v>0</v>
      </c>
      <c r="J665" s="59">
        <v>750000</v>
      </c>
      <c r="K665" s="61" t="s">
        <v>330</v>
      </c>
      <c r="L665" s="62" t="s">
        <v>330</v>
      </c>
    </row>
    <row r="666" spans="1:12" x14ac:dyDescent="0.25">
      <c r="A666" s="57" t="s">
        <v>534</v>
      </c>
      <c r="B666" s="58" t="s">
        <v>31</v>
      </c>
      <c r="C666" s="58"/>
      <c r="D666" s="58" t="s">
        <v>332</v>
      </c>
      <c r="E666" s="58" t="s">
        <v>533</v>
      </c>
      <c r="F666" s="58" t="s">
        <v>337</v>
      </c>
      <c r="G666" s="58">
        <v>0</v>
      </c>
      <c r="H666" s="59">
        <v>1000000</v>
      </c>
      <c r="I666" s="60">
        <v>0</v>
      </c>
      <c r="J666" s="59">
        <v>1000000</v>
      </c>
      <c r="K666" s="61" t="s">
        <v>330</v>
      </c>
      <c r="L666" s="62" t="s">
        <v>330</v>
      </c>
    </row>
    <row r="667" spans="1:12" x14ac:dyDescent="0.25">
      <c r="A667" s="57" t="s">
        <v>532</v>
      </c>
      <c r="B667" s="58" t="s">
        <v>31</v>
      </c>
      <c r="C667" s="58"/>
      <c r="D667" s="58" t="s">
        <v>339</v>
      </c>
      <c r="E667" s="58" t="s">
        <v>531</v>
      </c>
      <c r="F667" s="58" t="s">
        <v>337</v>
      </c>
      <c r="G667" s="58">
        <v>0</v>
      </c>
      <c r="H667" s="59">
        <v>1028283.55</v>
      </c>
      <c r="I667" s="60">
        <v>0</v>
      </c>
      <c r="J667" s="59">
        <v>1028283.55</v>
      </c>
      <c r="K667" s="61" t="s">
        <v>330</v>
      </c>
      <c r="L667" s="62" t="s">
        <v>330</v>
      </c>
    </row>
    <row r="668" spans="1:12" x14ac:dyDescent="0.25">
      <c r="A668" s="57" t="s">
        <v>530</v>
      </c>
      <c r="B668" s="58" t="s">
        <v>31</v>
      </c>
      <c r="C668" s="58"/>
      <c r="D668" s="58" t="s">
        <v>339</v>
      </c>
      <c r="E668" s="58" t="s">
        <v>529</v>
      </c>
      <c r="F668" s="58" t="s">
        <v>420</v>
      </c>
      <c r="G668" s="58">
        <v>0</v>
      </c>
      <c r="H668" s="59">
        <v>1160468.3500000001</v>
      </c>
      <c r="I668" s="60">
        <v>0</v>
      </c>
      <c r="J668" s="59">
        <v>1160468.3500000001</v>
      </c>
      <c r="K668" s="61" t="s">
        <v>330</v>
      </c>
      <c r="L668" s="62" t="s">
        <v>330</v>
      </c>
    </row>
    <row r="669" spans="1:12" x14ac:dyDescent="0.25">
      <c r="A669" s="57" t="s">
        <v>528</v>
      </c>
      <c r="B669" s="58" t="s">
        <v>31</v>
      </c>
      <c r="C669" s="58"/>
      <c r="D669" s="58" t="s">
        <v>339</v>
      </c>
      <c r="E669" s="58" t="s">
        <v>527</v>
      </c>
      <c r="F669" s="58" t="s">
        <v>337</v>
      </c>
      <c r="G669" s="58">
        <v>0</v>
      </c>
      <c r="H669" s="59">
        <v>1191520.3999999999</v>
      </c>
      <c r="I669" s="60">
        <v>0</v>
      </c>
      <c r="J669" s="59">
        <v>1191520.3999999999</v>
      </c>
      <c r="K669" s="61" t="s">
        <v>330</v>
      </c>
      <c r="L669" s="62" t="s">
        <v>330</v>
      </c>
    </row>
    <row r="670" spans="1:12" x14ac:dyDescent="0.25">
      <c r="A670" s="57" t="s">
        <v>526</v>
      </c>
      <c r="B670" s="58" t="s">
        <v>31</v>
      </c>
      <c r="C670" s="58"/>
      <c r="D670" s="58" t="s">
        <v>339</v>
      </c>
      <c r="E670" s="58" t="s">
        <v>525</v>
      </c>
      <c r="F670" s="58" t="s">
        <v>337</v>
      </c>
      <c r="G670" s="58">
        <v>0</v>
      </c>
      <c r="H670" s="59">
        <v>1336236.1399999999</v>
      </c>
      <c r="I670" s="60">
        <v>0</v>
      </c>
      <c r="J670" s="59">
        <v>1336236.1399999999</v>
      </c>
      <c r="K670" s="61" t="s">
        <v>330</v>
      </c>
      <c r="L670" s="62" t="s">
        <v>330</v>
      </c>
    </row>
    <row r="671" spans="1:12" x14ac:dyDescent="0.25">
      <c r="A671" s="57" t="s">
        <v>524</v>
      </c>
      <c r="B671" s="58" t="s">
        <v>31</v>
      </c>
      <c r="C671" s="58"/>
      <c r="D671" s="58" t="s">
        <v>339</v>
      </c>
      <c r="E671" s="58" t="s">
        <v>523</v>
      </c>
      <c r="F671" s="58" t="s">
        <v>420</v>
      </c>
      <c r="G671" s="58">
        <v>0</v>
      </c>
      <c r="H671" s="59">
        <v>1534977.23</v>
      </c>
      <c r="I671" s="60">
        <v>0</v>
      </c>
      <c r="J671" s="59">
        <v>1534977.23</v>
      </c>
      <c r="K671" s="61" t="s">
        <v>330</v>
      </c>
      <c r="L671" s="62" t="s">
        <v>330</v>
      </c>
    </row>
    <row r="672" spans="1:12" x14ac:dyDescent="0.25">
      <c r="A672" s="57" t="s">
        <v>522</v>
      </c>
      <c r="B672" s="58" t="s">
        <v>31</v>
      </c>
      <c r="C672" s="58"/>
      <c r="D672" s="58" t="s">
        <v>332</v>
      </c>
      <c r="E672" s="58" t="s">
        <v>521</v>
      </c>
      <c r="F672" s="58" t="s">
        <v>337</v>
      </c>
      <c r="G672" s="58">
        <v>0</v>
      </c>
      <c r="H672" s="59">
        <v>1773258.18</v>
      </c>
      <c r="I672" s="60">
        <v>0</v>
      </c>
      <c r="J672" s="59">
        <v>1773258.18</v>
      </c>
      <c r="K672" s="61" t="s">
        <v>330</v>
      </c>
      <c r="L672" s="62" t="s">
        <v>330</v>
      </c>
    </row>
    <row r="673" spans="1:12" x14ac:dyDescent="0.25">
      <c r="A673" s="57" t="s">
        <v>520</v>
      </c>
      <c r="B673" s="58" t="s">
        <v>31</v>
      </c>
      <c r="C673" s="58"/>
      <c r="D673" s="58" t="s">
        <v>339</v>
      </c>
      <c r="E673" s="58" t="s">
        <v>519</v>
      </c>
      <c r="F673" s="58" t="s">
        <v>337</v>
      </c>
      <c r="G673" s="58">
        <v>0</v>
      </c>
      <c r="H673" s="59">
        <v>1959712.88</v>
      </c>
      <c r="I673" s="60">
        <v>0</v>
      </c>
      <c r="J673" s="59">
        <v>1959712.88</v>
      </c>
      <c r="K673" s="61" t="s">
        <v>330</v>
      </c>
      <c r="L673" s="62" t="s">
        <v>330</v>
      </c>
    </row>
    <row r="674" spans="1:12" x14ac:dyDescent="0.25">
      <c r="A674" s="57" t="s">
        <v>518</v>
      </c>
      <c r="B674" s="58" t="s">
        <v>31</v>
      </c>
      <c r="C674" s="58"/>
      <c r="D674" s="58" t="s">
        <v>339</v>
      </c>
      <c r="E674" s="58" t="s">
        <v>517</v>
      </c>
      <c r="F674" s="58" t="s">
        <v>337</v>
      </c>
      <c r="G674" s="58">
        <v>0</v>
      </c>
      <c r="H674" s="59">
        <v>2068963.67</v>
      </c>
      <c r="I674" s="60">
        <v>0</v>
      </c>
      <c r="J674" s="59">
        <v>2068963.67</v>
      </c>
      <c r="K674" s="61" t="s">
        <v>330</v>
      </c>
      <c r="L674" s="62" t="s">
        <v>330</v>
      </c>
    </row>
    <row r="675" spans="1:12" x14ac:dyDescent="0.25">
      <c r="A675" s="57" t="s">
        <v>516</v>
      </c>
      <c r="B675" s="58" t="s">
        <v>31</v>
      </c>
      <c r="C675" s="58"/>
      <c r="D675" s="58" t="s">
        <v>339</v>
      </c>
      <c r="E675" s="58" t="s">
        <v>515</v>
      </c>
      <c r="F675" s="58" t="s">
        <v>337</v>
      </c>
      <c r="G675" s="58">
        <v>0</v>
      </c>
      <c r="H675" s="59">
        <v>2296110.04</v>
      </c>
      <c r="I675" s="60">
        <v>0</v>
      </c>
      <c r="J675" s="59">
        <v>2296110.04</v>
      </c>
      <c r="K675" s="61" t="s">
        <v>330</v>
      </c>
      <c r="L675" s="62" t="s">
        <v>330</v>
      </c>
    </row>
    <row r="676" spans="1:12" x14ac:dyDescent="0.25">
      <c r="A676" s="57" t="s">
        <v>514</v>
      </c>
      <c r="B676" s="58" t="s">
        <v>31</v>
      </c>
      <c r="C676" s="58"/>
      <c r="D676" s="58" t="s">
        <v>339</v>
      </c>
      <c r="E676" s="58" t="s">
        <v>513</v>
      </c>
      <c r="F676" s="58" t="s">
        <v>337</v>
      </c>
      <c r="G676" s="58">
        <v>0</v>
      </c>
      <c r="H676" s="59">
        <v>2507093.16</v>
      </c>
      <c r="I676" s="60">
        <v>0</v>
      </c>
      <c r="J676" s="59">
        <v>2507093.16</v>
      </c>
      <c r="K676" s="61" t="s">
        <v>330</v>
      </c>
      <c r="L676" s="62" t="s">
        <v>330</v>
      </c>
    </row>
    <row r="677" spans="1:12" x14ac:dyDescent="0.25">
      <c r="A677" s="57" t="s">
        <v>512</v>
      </c>
      <c r="B677" s="58" t="s">
        <v>31</v>
      </c>
      <c r="C677" s="58"/>
      <c r="D677" s="58" t="s">
        <v>339</v>
      </c>
      <c r="E677" s="58" t="s">
        <v>511</v>
      </c>
      <c r="F677" s="58" t="s">
        <v>337</v>
      </c>
      <c r="G677" s="58">
        <v>0</v>
      </c>
      <c r="H677" s="59">
        <v>3132281.1</v>
      </c>
      <c r="I677" s="60">
        <v>0</v>
      </c>
      <c r="J677" s="59">
        <v>3132281.1</v>
      </c>
      <c r="K677" s="61" t="s">
        <v>330</v>
      </c>
      <c r="L677" s="62" t="s">
        <v>330</v>
      </c>
    </row>
    <row r="678" spans="1:12" x14ac:dyDescent="0.25">
      <c r="A678" s="57" t="s">
        <v>510</v>
      </c>
      <c r="B678" s="58" t="s">
        <v>31</v>
      </c>
      <c r="C678" s="58"/>
      <c r="D678" s="58" t="s">
        <v>339</v>
      </c>
      <c r="E678" s="58" t="s">
        <v>509</v>
      </c>
      <c r="F678" s="58" t="s">
        <v>424</v>
      </c>
      <c r="G678" s="58">
        <v>0</v>
      </c>
      <c r="H678" s="59">
        <v>5004479.5</v>
      </c>
      <c r="I678" s="60">
        <v>0</v>
      </c>
      <c r="J678" s="59">
        <v>5004479.5</v>
      </c>
      <c r="K678" s="61" t="s">
        <v>330</v>
      </c>
      <c r="L678" s="62" t="s">
        <v>330</v>
      </c>
    </row>
    <row r="679" spans="1:12" x14ac:dyDescent="0.25">
      <c r="A679" s="57" t="s">
        <v>508</v>
      </c>
      <c r="B679" s="58" t="s">
        <v>31</v>
      </c>
      <c r="C679" s="58"/>
      <c r="D679" s="58" t="s">
        <v>339</v>
      </c>
      <c r="E679" s="58" t="s">
        <v>507</v>
      </c>
      <c r="F679" s="58" t="s">
        <v>337</v>
      </c>
      <c r="G679" s="58">
        <v>0</v>
      </c>
      <c r="H679" s="59">
        <v>6055069.8499999996</v>
      </c>
      <c r="I679" s="60">
        <v>0</v>
      </c>
      <c r="J679" s="59">
        <v>6055069.8499999996</v>
      </c>
      <c r="K679" s="61" t="s">
        <v>330</v>
      </c>
      <c r="L679" s="62" t="s">
        <v>330</v>
      </c>
    </row>
    <row r="680" spans="1:12" x14ac:dyDescent="0.25">
      <c r="A680" s="57" t="s">
        <v>506</v>
      </c>
      <c r="B680" s="58" t="s">
        <v>31</v>
      </c>
      <c r="C680" s="58"/>
      <c r="D680" s="58" t="s">
        <v>332</v>
      </c>
      <c r="E680" s="58" t="s">
        <v>505</v>
      </c>
      <c r="F680" s="58"/>
      <c r="G680" s="58">
        <v>0</v>
      </c>
      <c r="H680" s="59">
        <v>10766477.07</v>
      </c>
      <c r="I680" s="60">
        <v>0</v>
      </c>
      <c r="J680" s="59">
        <v>10766477.07</v>
      </c>
      <c r="K680" s="61" t="s">
        <v>330</v>
      </c>
      <c r="L680" s="62" t="s">
        <v>330</v>
      </c>
    </row>
    <row r="681" spans="1:12" x14ac:dyDescent="0.25">
      <c r="A681" s="57" t="s">
        <v>504</v>
      </c>
      <c r="B681" s="58" t="s">
        <v>31</v>
      </c>
      <c r="C681" s="58"/>
      <c r="D681" s="58" t="s">
        <v>339</v>
      </c>
      <c r="E681" s="58" t="s">
        <v>503</v>
      </c>
      <c r="F681" s="58" t="s">
        <v>337</v>
      </c>
      <c r="G681" s="58">
        <v>0</v>
      </c>
      <c r="H681" s="59">
        <v>12689757.93</v>
      </c>
      <c r="I681" s="60">
        <v>0</v>
      </c>
      <c r="J681" s="59">
        <v>12689757.93</v>
      </c>
      <c r="K681" s="61" t="s">
        <v>330</v>
      </c>
      <c r="L681" s="62" t="s">
        <v>330</v>
      </c>
    </row>
    <row r="682" spans="1:12" x14ac:dyDescent="0.25">
      <c r="A682" s="57" t="s">
        <v>502</v>
      </c>
      <c r="B682" s="58" t="s">
        <v>31</v>
      </c>
      <c r="C682" s="58"/>
      <c r="D682" s="58" t="s">
        <v>339</v>
      </c>
      <c r="E682" s="58" t="s">
        <v>501</v>
      </c>
      <c r="F682" s="58" t="s">
        <v>337</v>
      </c>
      <c r="G682" s="58">
        <v>0</v>
      </c>
      <c r="H682" s="59">
        <v>15447730.359999999</v>
      </c>
      <c r="I682" s="60">
        <v>0</v>
      </c>
      <c r="J682" s="59">
        <v>15447730.359999999</v>
      </c>
      <c r="K682" s="61" t="s">
        <v>330</v>
      </c>
      <c r="L682" s="62" t="s">
        <v>330</v>
      </c>
    </row>
    <row r="683" spans="1:12" x14ac:dyDescent="0.25">
      <c r="A683" s="57" t="s">
        <v>30</v>
      </c>
      <c r="B683" s="58" t="s">
        <v>31</v>
      </c>
      <c r="C683" s="58" t="s">
        <v>500</v>
      </c>
      <c r="D683" s="58" t="s">
        <v>7</v>
      </c>
      <c r="E683" s="58" t="s">
        <v>499</v>
      </c>
      <c r="F683" s="58" t="s">
        <v>498</v>
      </c>
      <c r="G683" s="58">
        <v>0</v>
      </c>
      <c r="H683" s="59">
        <v>41522873.420000002</v>
      </c>
      <c r="I683" s="60">
        <v>0</v>
      </c>
      <c r="J683" s="59">
        <v>41522873.420000002</v>
      </c>
      <c r="K683" s="63">
        <v>45901</v>
      </c>
      <c r="L683" s="64">
        <v>46801</v>
      </c>
    </row>
    <row r="684" spans="1:12" x14ac:dyDescent="0.25">
      <c r="A684" s="57" t="s">
        <v>136</v>
      </c>
      <c r="B684" s="58" t="s">
        <v>138</v>
      </c>
      <c r="C684" s="58" t="s">
        <v>497</v>
      </c>
      <c r="D684" s="58" t="s">
        <v>355</v>
      </c>
      <c r="E684" s="58" t="s">
        <v>496</v>
      </c>
      <c r="F684" s="58" t="s">
        <v>495</v>
      </c>
      <c r="G684" s="58">
        <v>0.9728</v>
      </c>
      <c r="H684" s="59">
        <v>4444784.22</v>
      </c>
      <c r="I684" s="60">
        <v>4324004.8099999996</v>
      </c>
      <c r="J684" s="59">
        <v>120779.41000000015</v>
      </c>
      <c r="K684" s="63">
        <v>45155</v>
      </c>
      <c r="L684" s="64">
        <v>45576</v>
      </c>
    </row>
    <row r="685" spans="1:12" x14ac:dyDescent="0.25">
      <c r="A685" s="57" t="s">
        <v>494</v>
      </c>
      <c r="B685" s="58" t="s">
        <v>138</v>
      </c>
      <c r="C685" s="58"/>
      <c r="D685" s="58" t="s">
        <v>332</v>
      </c>
      <c r="E685" s="58" t="s">
        <v>493</v>
      </c>
      <c r="F685" s="58" t="s">
        <v>337</v>
      </c>
      <c r="G685" s="58">
        <v>0</v>
      </c>
      <c r="H685" s="59">
        <v>281603.73</v>
      </c>
      <c r="I685" s="60">
        <v>0</v>
      </c>
      <c r="J685" s="59">
        <v>281603.73</v>
      </c>
      <c r="K685" s="61" t="s">
        <v>330</v>
      </c>
      <c r="L685" s="62" t="s">
        <v>330</v>
      </c>
    </row>
    <row r="686" spans="1:12" x14ac:dyDescent="0.25">
      <c r="A686" s="57" t="s">
        <v>492</v>
      </c>
      <c r="B686" s="58" t="s">
        <v>138</v>
      </c>
      <c r="C686" s="58"/>
      <c r="D686" s="58" t="s">
        <v>332</v>
      </c>
      <c r="E686" s="58" t="s">
        <v>491</v>
      </c>
      <c r="F686" s="58" t="s">
        <v>337</v>
      </c>
      <c r="G686" s="58">
        <v>0</v>
      </c>
      <c r="H686" s="59">
        <v>709900.16</v>
      </c>
      <c r="I686" s="60">
        <v>0</v>
      </c>
      <c r="J686" s="59">
        <v>709900.16</v>
      </c>
      <c r="K686" s="61" t="s">
        <v>330</v>
      </c>
      <c r="L686" s="62" t="s">
        <v>330</v>
      </c>
    </row>
    <row r="687" spans="1:12" x14ac:dyDescent="0.25">
      <c r="A687" s="57" t="s">
        <v>490</v>
      </c>
      <c r="B687" s="58" t="s">
        <v>138</v>
      </c>
      <c r="C687" s="58"/>
      <c r="D687" s="58" t="s">
        <v>332</v>
      </c>
      <c r="E687" s="58" t="s">
        <v>489</v>
      </c>
      <c r="F687" s="58" t="s">
        <v>337</v>
      </c>
      <c r="G687" s="58">
        <v>0</v>
      </c>
      <c r="H687" s="59">
        <v>1003060.15</v>
      </c>
      <c r="I687" s="60">
        <v>0</v>
      </c>
      <c r="J687" s="59">
        <v>1003060.15</v>
      </c>
      <c r="K687" s="61" t="s">
        <v>330</v>
      </c>
      <c r="L687" s="62" t="s">
        <v>330</v>
      </c>
    </row>
    <row r="688" spans="1:12" x14ac:dyDescent="0.25">
      <c r="A688" s="57" t="s">
        <v>488</v>
      </c>
      <c r="B688" s="58" t="s">
        <v>138</v>
      </c>
      <c r="C688" s="58"/>
      <c r="D688" s="58" t="s">
        <v>332</v>
      </c>
      <c r="E688" s="58" t="s">
        <v>487</v>
      </c>
      <c r="F688" s="58" t="s">
        <v>337</v>
      </c>
      <c r="G688" s="58">
        <v>0</v>
      </c>
      <c r="H688" s="59">
        <v>1233126.57</v>
      </c>
      <c r="I688" s="60">
        <v>0</v>
      </c>
      <c r="J688" s="59">
        <v>1233126.57</v>
      </c>
      <c r="K688" s="61" t="s">
        <v>330</v>
      </c>
      <c r="L688" s="62" t="s">
        <v>330</v>
      </c>
    </row>
    <row r="689" spans="1:12" x14ac:dyDescent="0.25">
      <c r="A689" s="57" t="s">
        <v>486</v>
      </c>
      <c r="B689" s="58" t="s">
        <v>485</v>
      </c>
      <c r="C689" s="58"/>
      <c r="D689" s="58" t="s">
        <v>332</v>
      </c>
      <c r="E689" s="58" t="s">
        <v>484</v>
      </c>
      <c r="F689" s="58"/>
      <c r="G689" s="58">
        <v>0</v>
      </c>
      <c r="H689" s="59">
        <v>0</v>
      </c>
      <c r="I689" s="60">
        <v>0</v>
      </c>
      <c r="J689" s="59">
        <v>0</v>
      </c>
      <c r="K689" s="61" t="s">
        <v>330</v>
      </c>
      <c r="L689" s="62" t="s">
        <v>330</v>
      </c>
    </row>
    <row r="690" spans="1:12" x14ac:dyDescent="0.25">
      <c r="A690" s="57" t="s">
        <v>483</v>
      </c>
      <c r="B690" s="58" t="s">
        <v>466</v>
      </c>
      <c r="C690" s="58"/>
      <c r="D690" s="58" t="s">
        <v>332</v>
      </c>
      <c r="E690" s="58" t="s">
        <v>482</v>
      </c>
      <c r="F690" s="58" t="s">
        <v>337</v>
      </c>
      <c r="G690" s="58">
        <v>0</v>
      </c>
      <c r="H690" s="59">
        <v>0</v>
      </c>
      <c r="I690" s="60">
        <v>0</v>
      </c>
      <c r="J690" s="59">
        <v>0</v>
      </c>
      <c r="K690" s="61" t="s">
        <v>330</v>
      </c>
      <c r="L690" s="62" t="s">
        <v>330</v>
      </c>
    </row>
    <row r="691" spans="1:12" x14ac:dyDescent="0.25">
      <c r="A691" s="57" t="s">
        <v>481</v>
      </c>
      <c r="B691" s="58" t="s">
        <v>466</v>
      </c>
      <c r="C691" s="58"/>
      <c r="D691" s="58" t="s">
        <v>367</v>
      </c>
      <c r="E691" s="58" t="s">
        <v>480</v>
      </c>
      <c r="F691" s="58" t="s">
        <v>337</v>
      </c>
      <c r="G691" s="65" t="s">
        <v>330</v>
      </c>
      <c r="H691" s="59">
        <v>5695472.2599999998</v>
      </c>
      <c r="I691" s="60">
        <v>0</v>
      </c>
      <c r="J691" s="59">
        <v>5695472.2599999998</v>
      </c>
      <c r="K691" s="61" t="s">
        <v>330</v>
      </c>
      <c r="L691" s="62" t="s">
        <v>330</v>
      </c>
    </row>
    <row r="692" spans="1:12" x14ac:dyDescent="0.25">
      <c r="A692" s="57" t="s">
        <v>479</v>
      </c>
      <c r="B692" s="58" t="s">
        <v>466</v>
      </c>
      <c r="C692" s="58" t="s">
        <v>478</v>
      </c>
      <c r="D692" s="58" t="s">
        <v>396</v>
      </c>
      <c r="E692" s="58" t="s">
        <v>477</v>
      </c>
      <c r="F692" s="58" t="s">
        <v>476</v>
      </c>
      <c r="G692" s="58">
        <v>0.42049999999999998</v>
      </c>
      <c r="H692" s="59">
        <v>11445154.710000001</v>
      </c>
      <c r="I692" s="60">
        <v>4812838.26</v>
      </c>
      <c r="J692" s="59">
        <v>6632316.4500000011</v>
      </c>
      <c r="K692" s="63">
        <v>44816</v>
      </c>
      <c r="L692" s="62" t="s">
        <v>330</v>
      </c>
    </row>
    <row r="693" spans="1:12" x14ac:dyDescent="0.25">
      <c r="A693" s="57" t="s">
        <v>475</v>
      </c>
      <c r="B693" s="58" t="s">
        <v>466</v>
      </c>
      <c r="C693" s="58" t="s">
        <v>474</v>
      </c>
      <c r="D693" s="58" t="s">
        <v>426</v>
      </c>
      <c r="E693" s="58" t="s">
        <v>473</v>
      </c>
      <c r="F693" s="58" t="s">
        <v>334</v>
      </c>
      <c r="G693" s="58">
        <v>0</v>
      </c>
      <c r="H693" s="59">
        <v>8995898.0500000007</v>
      </c>
      <c r="I693" s="60">
        <v>266299.23</v>
      </c>
      <c r="J693" s="59">
        <v>8729598.8200000003</v>
      </c>
      <c r="K693" s="63">
        <v>44816</v>
      </c>
      <c r="L693" s="64">
        <v>44996</v>
      </c>
    </row>
    <row r="694" spans="1:12" x14ac:dyDescent="0.25">
      <c r="A694" s="57" t="s">
        <v>472</v>
      </c>
      <c r="B694" s="58" t="s">
        <v>466</v>
      </c>
      <c r="C694" s="58"/>
      <c r="D694" s="58" t="s">
        <v>396</v>
      </c>
      <c r="E694" s="58" t="s">
        <v>471</v>
      </c>
      <c r="F694" s="58" t="s">
        <v>337</v>
      </c>
      <c r="G694" s="58">
        <v>0</v>
      </c>
      <c r="H694" s="59">
        <v>11275759.619999999</v>
      </c>
      <c r="I694" s="60">
        <v>0</v>
      </c>
      <c r="J694" s="59">
        <v>11275759.619999999</v>
      </c>
      <c r="K694" s="61" t="s">
        <v>330</v>
      </c>
      <c r="L694" s="62" t="s">
        <v>330</v>
      </c>
    </row>
    <row r="695" spans="1:12" x14ac:dyDescent="0.25">
      <c r="A695" s="57" t="s">
        <v>470</v>
      </c>
      <c r="B695" s="58" t="s">
        <v>466</v>
      </c>
      <c r="C695" s="58" t="s">
        <v>469</v>
      </c>
      <c r="D695" s="58" t="s">
        <v>396</v>
      </c>
      <c r="E695" s="58" t="s">
        <v>468</v>
      </c>
      <c r="F695" s="58" t="s">
        <v>343</v>
      </c>
      <c r="G695" s="58">
        <v>0</v>
      </c>
      <c r="H695" s="59">
        <v>12563097.75</v>
      </c>
      <c r="I695" s="60">
        <v>0</v>
      </c>
      <c r="J695" s="59">
        <v>12563097.75</v>
      </c>
      <c r="K695" s="63">
        <v>45230</v>
      </c>
      <c r="L695" s="62" t="s">
        <v>330</v>
      </c>
    </row>
    <row r="696" spans="1:12" x14ac:dyDescent="0.25">
      <c r="A696" s="57" t="s">
        <v>467</v>
      </c>
      <c r="B696" s="58" t="s">
        <v>466</v>
      </c>
      <c r="C696" s="58"/>
      <c r="D696" s="58" t="s">
        <v>396</v>
      </c>
      <c r="E696" s="58" t="s">
        <v>465</v>
      </c>
      <c r="F696" s="58" t="s">
        <v>337</v>
      </c>
      <c r="G696" s="58">
        <v>0</v>
      </c>
      <c r="H696" s="59">
        <v>33399466.5</v>
      </c>
      <c r="I696" s="60">
        <v>0</v>
      </c>
      <c r="J696" s="59">
        <v>33399466.5</v>
      </c>
      <c r="K696" s="61" t="s">
        <v>330</v>
      </c>
      <c r="L696" s="62" t="s">
        <v>330</v>
      </c>
    </row>
    <row r="697" spans="1:12" x14ac:dyDescent="0.25">
      <c r="A697" s="57" t="s">
        <v>183</v>
      </c>
      <c r="B697" s="58" t="s">
        <v>184</v>
      </c>
      <c r="C697" s="58" t="s">
        <v>464</v>
      </c>
      <c r="D697" s="58" t="s">
        <v>7</v>
      </c>
      <c r="E697" s="58" t="s">
        <v>463</v>
      </c>
      <c r="F697" s="58" t="s">
        <v>462</v>
      </c>
      <c r="G697" s="58">
        <v>0.31530000000000002</v>
      </c>
      <c r="H697" s="59">
        <v>3294597.99</v>
      </c>
      <c r="I697" s="60">
        <v>1038880.21</v>
      </c>
      <c r="J697" s="59">
        <v>2255717.7800000003</v>
      </c>
      <c r="K697" s="63">
        <v>45278</v>
      </c>
      <c r="L697" s="64">
        <v>46122</v>
      </c>
    </row>
    <row r="698" spans="1:12" x14ac:dyDescent="0.25">
      <c r="A698" s="57" t="s">
        <v>461</v>
      </c>
      <c r="B698" s="58" t="s">
        <v>184</v>
      </c>
      <c r="C698" s="58"/>
      <c r="D698" s="58" t="s">
        <v>332</v>
      </c>
      <c r="E698" s="58" t="s">
        <v>460</v>
      </c>
      <c r="F698" s="58" t="s">
        <v>337</v>
      </c>
      <c r="G698" s="58">
        <v>0</v>
      </c>
      <c r="H698" s="59">
        <v>4741082.28</v>
      </c>
      <c r="I698" s="60">
        <v>0</v>
      </c>
      <c r="J698" s="59">
        <v>4741082.28</v>
      </c>
      <c r="K698" s="61" t="s">
        <v>330</v>
      </c>
      <c r="L698" s="62" t="s">
        <v>330</v>
      </c>
    </row>
    <row r="699" spans="1:12" x14ac:dyDescent="0.25">
      <c r="A699" s="57" t="s">
        <v>459</v>
      </c>
      <c r="B699" s="58" t="s">
        <v>454</v>
      </c>
      <c r="C699" s="58"/>
      <c r="D699" s="58" t="s">
        <v>332</v>
      </c>
      <c r="E699" s="58" t="s">
        <v>458</v>
      </c>
      <c r="F699" s="58" t="s">
        <v>337</v>
      </c>
      <c r="G699" s="58">
        <v>0</v>
      </c>
      <c r="H699" s="59">
        <v>1026992.97</v>
      </c>
      <c r="I699" s="60">
        <v>0</v>
      </c>
      <c r="J699" s="59">
        <v>1026992.97</v>
      </c>
      <c r="K699" s="61" t="s">
        <v>330</v>
      </c>
      <c r="L699" s="62" t="s">
        <v>330</v>
      </c>
    </row>
    <row r="700" spans="1:12" x14ac:dyDescent="0.25">
      <c r="A700" s="57" t="s">
        <v>457</v>
      </c>
      <c r="B700" s="58" t="s">
        <v>454</v>
      </c>
      <c r="C700" s="58"/>
      <c r="D700" s="58" t="s">
        <v>332</v>
      </c>
      <c r="E700" s="58" t="s">
        <v>456</v>
      </c>
      <c r="F700" s="58" t="s">
        <v>337</v>
      </c>
      <c r="G700" s="58">
        <v>0</v>
      </c>
      <c r="H700" s="59">
        <v>2836091.26</v>
      </c>
      <c r="I700" s="60">
        <v>0</v>
      </c>
      <c r="J700" s="59">
        <v>2836091.26</v>
      </c>
      <c r="K700" s="61" t="s">
        <v>330</v>
      </c>
      <c r="L700" s="62" t="s">
        <v>330</v>
      </c>
    </row>
    <row r="701" spans="1:12" x14ac:dyDescent="0.25">
      <c r="A701" s="57" t="s">
        <v>455</v>
      </c>
      <c r="B701" s="58" t="s">
        <v>454</v>
      </c>
      <c r="C701" s="58"/>
      <c r="D701" s="58" t="s">
        <v>339</v>
      </c>
      <c r="E701" s="58" t="s">
        <v>453</v>
      </c>
      <c r="F701" s="58" t="s">
        <v>337</v>
      </c>
      <c r="G701" s="58">
        <v>0</v>
      </c>
      <c r="H701" s="59">
        <v>4259270.05</v>
      </c>
      <c r="I701" s="60">
        <v>0</v>
      </c>
      <c r="J701" s="59">
        <v>4259270.05</v>
      </c>
      <c r="K701" s="61" t="s">
        <v>330</v>
      </c>
      <c r="L701" s="62" t="s">
        <v>330</v>
      </c>
    </row>
    <row r="702" spans="1:12" x14ac:dyDescent="0.25">
      <c r="A702" s="57" t="s">
        <v>452</v>
      </c>
      <c r="B702" s="58" t="s">
        <v>445</v>
      </c>
      <c r="C702" s="58"/>
      <c r="D702" s="58" t="s">
        <v>332</v>
      </c>
      <c r="E702" s="58" t="s">
        <v>451</v>
      </c>
      <c r="F702" s="58" t="s">
        <v>337</v>
      </c>
      <c r="G702" s="58">
        <v>0</v>
      </c>
      <c r="H702" s="59">
        <v>603615.28</v>
      </c>
      <c r="I702" s="60">
        <v>0</v>
      </c>
      <c r="J702" s="59">
        <v>603615.28</v>
      </c>
      <c r="K702" s="61" t="s">
        <v>330</v>
      </c>
      <c r="L702" s="62" t="s">
        <v>330</v>
      </c>
    </row>
    <row r="703" spans="1:12" x14ac:dyDescent="0.25">
      <c r="A703" s="57" t="s">
        <v>450</v>
      </c>
      <c r="B703" s="58" t="s">
        <v>445</v>
      </c>
      <c r="C703" s="58"/>
      <c r="D703" s="58" t="s">
        <v>332</v>
      </c>
      <c r="E703" s="58" t="s">
        <v>449</v>
      </c>
      <c r="F703" s="58" t="s">
        <v>337</v>
      </c>
      <c r="G703" s="58">
        <v>0</v>
      </c>
      <c r="H703" s="59">
        <v>5162709.59</v>
      </c>
      <c r="I703" s="60">
        <v>0</v>
      </c>
      <c r="J703" s="59">
        <v>5162709.59</v>
      </c>
      <c r="K703" s="61" t="s">
        <v>330</v>
      </c>
      <c r="L703" s="62" t="s">
        <v>330</v>
      </c>
    </row>
    <row r="704" spans="1:12" x14ac:dyDescent="0.25">
      <c r="A704" s="57" t="s">
        <v>448</v>
      </c>
      <c r="B704" s="58" t="s">
        <v>445</v>
      </c>
      <c r="C704" s="58"/>
      <c r="D704" s="58" t="s">
        <v>339</v>
      </c>
      <c r="E704" s="58" t="s">
        <v>447</v>
      </c>
      <c r="F704" s="58" t="s">
        <v>337</v>
      </c>
      <c r="G704" s="58">
        <v>0</v>
      </c>
      <c r="H704" s="59">
        <v>7809659.2300000004</v>
      </c>
      <c r="I704" s="60">
        <v>0</v>
      </c>
      <c r="J704" s="59">
        <v>7809659.2300000004</v>
      </c>
      <c r="K704" s="61" t="s">
        <v>330</v>
      </c>
      <c r="L704" s="62" t="s">
        <v>330</v>
      </c>
    </row>
    <row r="705" spans="1:12" x14ac:dyDescent="0.25">
      <c r="A705" s="57" t="s">
        <v>446</v>
      </c>
      <c r="B705" s="58" t="s">
        <v>445</v>
      </c>
      <c r="C705" s="58"/>
      <c r="D705" s="58" t="s">
        <v>332</v>
      </c>
      <c r="E705" s="58" t="s">
        <v>444</v>
      </c>
      <c r="F705" s="58" t="s">
        <v>337</v>
      </c>
      <c r="G705" s="58">
        <v>0</v>
      </c>
      <c r="H705" s="59">
        <v>88866901.540000007</v>
      </c>
      <c r="I705" s="60">
        <v>0</v>
      </c>
      <c r="J705" s="59">
        <v>88866901.540000007</v>
      </c>
      <c r="K705" s="61" t="s">
        <v>330</v>
      </c>
      <c r="L705" s="62" t="s">
        <v>330</v>
      </c>
    </row>
    <row r="706" spans="1:12" x14ac:dyDescent="0.25">
      <c r="A706" s="57" t="s">
        <v>443</v>
      </c>
      <c r="B706" s="58" t="s">
        <v>437</v>
      </c>
      <c r="C706" s="58"/>
      <c r="D706" s="58" t="s">
        <v>396</v>
      </c>
      <c r="E706" s="58" t="s">
        <v>442</v>
      </c>
      <c r="F706" s="58" t="s">
        <v>337</v>
      </c>
      <c r="G706" s="58">
        <v>0</v>
      </c>
      <c r="H706" s="59">
        <v>39956103.939999998</v>
      </c>
      <c r="I706" s="60">
        <v>0</v>
      </c>
      <c r="J706" s="59">
        <v>39956103.939999998</v>
      </c>
      <c r="K706" s="61" t="s">
        <v>330</v>
      </c>
      <c r="L706" s="62" t="s">
        <v>330</v>
      </c>
    </row>
    <row r="707" spans="1:12" x14ac:dyDescent="0.25">
      <c r="A707" s="57" t="s">
        <v>441</v>
      </c>
      <c r="B707" s="58" t="s">
        <v>437</v>
      </c>
      <c r="C707" s="58"/>
      <c r="D707" s="58" t="s">
        <v>440</v>
      </c>
      <c r="E707" s="58" t="s">
        <v>439</v>
      </c>
      <c r="F707" s="58" t="s">
        <v>343</v>
      </c>
      <c r="G707" s="58">
        <v>0</v>
      </c>
      <c r="H707" s="59">
        <v>82279543.810000002</v>
      </c>
      <c r="I707" s="60">
        <v>0</v>
      </c>
      <c r="J707" s="59">
        <v>82279543.810000002</v>
      </c>
      <c r="K707" s="61" t="s">
        <v>330</v>
      </c>
      <c r="L707" s="62" t="s">
        <v>330</v>
      </c>
    </row>
    <row r="708" spans="1:12" x14ac:dyDescent="0.25">
      <c r="A708" s="57" t="s">
        <v>438</v>
      </c>
      <c r="B708" s="58" t="s">
        <v>437</v>
      </c>
      <c r="C708" s="58"/>
      <c r="D708" s="58" t="s">
        <v>332</v>
      </c>
      <c r="E708" s="58" t="s">
        <v>436</v>
      </c>
      <c r="F708" s="58" t="s">
        <v>337</v>
      </c>
      <c r="G708" s="58">
        <v>0</v>
      </c>
      <c r="H708" s="59">
        <v>129559719.66</v>
      </c>
      <c r="I708" s="60">
        <v>0</v>
      </c>
      <c r="J708" s="59">
        <v>129559719.66</v>
      </c>
      <c r="K708" s="61" t="s">
        <v>330</v>
      </c>
      <c r="L708" s="62" t="s">
        <v>330</v>
      </c>
    </row>
    <row r="709" spans="1:12" x14ac:dyDescent="0.25">
      <c r="A709" s="57" t="s">
        <v>435</v>
      </c>
      <c r="B709" s="58" t="s">
        <v>414</v>
      </c>
      <c r="C709" s="58"/>
      <c r="D709" s="58" t="s">
        <v>332</v>
      </c>
      <c r="E709" s="58" t="s">
        <v>434</v>
      </c>
      <c r="F709" s="58" t="s">
        <v>337</v>
      </c>
      <c r="G709" s="58">
        <v>0</v>
      </c>
      <c r="H709" s="59">
        <v>0</v>
      </c>
      <c r="I709" s="60">
        <v>0</v>
      </c>
      <c r="J709" s="59">
        <v>0</v>
      </c>
      <c r="K709" s="61" t="s">
        <v>330</v>
      </c>
      <c r="L709" s="62" t="s">
        <v>330</v>
      </c>
    </row>
    <row r="710" spans="1:12" x14ac:dyDescent="0.25">
      <c r="A710" s="57" t="s">
        <v>433</v>
      </c>
      <c r="B710" s="58" t="s">
        <v>414</v>
      </c>
      <c r="C710" s="58"/>
      <c r="D710" s="58" t="s">
        <v>332</v>
      </c>
      <c r="E710" s="58" t="s">
        <v>432</v>
      </c>
      <c r="F710" s="58" t="s">
        <v>337</v>
      </c>
      <c r="G710" s="58">
        <v>0</v>
      </c>
      <c r="H710" s="59">
        <v>0</v>
      </c>
      <c r="I710" s="60">
        <v>0</v>
      </c>
      <c r="J710" s="59">
        <v>0</v>
      </c>
      <c r="K710" s="61" t="s">
        <v>330</v>
      </c>
      <c r="L710" s="62" t="s">
        <v>330</v>
      </c>
    </row>
    <row r="711" spans="1:12" x14ac:dyDescent="0.25">
      <c r="A711" s="57" t="s">
        <v>149</v>
      </c>
      <c r="B711" s="58" t="s">
        <v>414</v>
      </c>
      <c r="C711" s="58" t="s">
        <v>431</v>
      </c>
      <c r="D711" s="58" t="s">
        <v>7</v>
      </c>
      <c r="E711" s="58" t="s">
        <v>430</v>
      </c>
      <c r="F711" s="58" t="s">
        <v>429</v>
      </c>
      <c r="G711" s="58">
        <v>0.99219999999999997</v>
      </c>
      <c r="H711" s="59">
        <v>6055289.3399999999</v>
      </c>
      <c r="I711" s="60">
        <v>6007931.0199999996</v>
      </c>
      <c r="J711" s="59">
        <v>47358.320000000298</v>
      </c>
      <c r="K711" s="63">
        <v>44715</v>
      </c>
      <c r="L711" s="64">
        <v>45075</v>
      </c>
    </row>
    <row r="712" spans="1:12" x14ac:dyDescent="0.25">
      <c r="A712" s="57" t="s">
        <v>428</v>
      </c>
      <c r="B712" s="58" t="s">
        <v>414</v>
      </c>
      <c r="C712" s="58" t="s">
        <v>427</v>
      </c>
      <c r="D712" s="58" t="s">
        <v>426</v>
      </c>
      <c r="E712" s="58" t="s">
        <v>425</v>
      </c>
      <c r="F712" s="58" t="s">
        <v>424</v>
      </c>
      <c r="G712" s="58">
        <v>0.22760000000000002</v>
      </c>
      <c r="H712" s="59">
        <v>8973983.8699999992</v>
      </c>
      <c r="I712" s="60">
        <v>2042159.29</v>
      </c>
      <c r="J712" s="59">
        <v>6931824.5799999991</v>
      </c>
      <c r="K712" s="63">
        <v>44707</v>
      </c>
      <c r="L712" s="64">
        <v>45280</v>
      </c>
    </row>
    <row r="713" spans="1:12" x14ac:dyDescent="0.25">
      <c r="A713" s="57" t="s">
        <v>423</v>
      </c>
      <c r="B713" s="58" t="s">
        <v>414</v>
      </c>
      <c r="C713" s="58" t="s">
        <v>422</v>
      </c>
      <c r="D713" s="58" t="s">
        <v>396</v>
      </c>
      <c r="E713" s="58" t="s">
        <v>421</v>
      </c>
      <c r="F713" s="58" t="s">
        <v>420</v>
      </c>
      <c r="G713" s="58">
        <v>0</v>
      </c>
      <c r="H713" s="59">
        <v>7850506.1100000003</v>
      </c>
      <c r="I713" s="60">
        <v>0</v>
      </c>
      <c r="J713" s="59">
        <v>7850506.1100000003</v>
      </c>
      <c r="K713" s="61" t="s">
        <v>330</v>
      </c>
      <c r="L713" s="62" t="s">
        <v>330</v>
      </c>
    </row>
    <row r="714" spans="1:12" x14ac:dyDescent="0.25">
      <c r="A714" s="57" t="s">
        <v>419</v>
      </c>
      <c r="B714" s="58" t="s">
        <v>414</v>
      </c>
      <c r="C714" s="58" t="s">
        <v>418</v>
      </c>
      <c r="D714" s="58" t="s">
        <v>396</v>
      </c>
      <c r="E714" s="58" t="s">
        <v>417</v>
      </c>
      <c r="F714" s="58" t="s">
        <v>416</v>
      </c>
      <c r="G714" s="58">
        <v>0.36859999999999998</v>
      </c>
      <c r="H714" s="59">
        <v>37361122.310000002</v>
      </c>
      <c r="I714" s="60">
        <v>13771148.060000001</v>
      </c>
      <c r="J714" s="59">
        <v>23589974.25</v>
      </c>
      <c r="K714" s="63">
        <v>44715</v>
      </c>
      <c r="L714" s="62" t="s">
        <v>330</v>
      </c>
    </row>
    <row r="715" spans="1:12" x14ac:dyDescent="0.25">
      <c r="A715" s="57" t="s">
        <v>415</v>
      </c>
      <c r="B715" s="58" t="s">
        <v>414</v>
      </c>
      <c r="C715" s="58"/>
      <c r="D715" s="58" t="s">
        <v>332</v>
      </c>
      <c r="E715" s="58" t="s">
        <v>413</v>
      </c>
      <c r="F715" s="58" t="s">
        <v>337</v>
      </c>
      <c r="G715" s="58">
        <v>0</v>
      </c>
      <c r="H715" s="59">
        <v>68597801.560000002</v>
      </c>
      <c r="I715" s="60">
        <v>0</v>
      </c>
      <c r="J715" s="59">
        <v>68597801.560000002</v>
      </c>
      <c r="K715" s="61" t="s">
        <v>330</v>
      </c>
      <c r="L715" s="62" t="s">
        <v>330</v>
      </c>
    </row>
    <row r="716" spans="1:12" x14ac:dyDescent="0.25">
      <c r="A716" s="57" t="s">
        <v>412</v>
      </c>
      <c r="B716" s="58" t="s">
        <v>397</v>
      </c>
      <c r="C716" s="58"/>
      <c r="D716" s="58" t="s">
        <v>332</v>
      </c>
      <c r="E716" s="58" t="s">
        <v>411</v>
      </c>
      <c r="F716" s="58" t="s">
        <v>337</v>
      </c>
      <c r="G716" s="58">
        <v>0</v>
      </c>
      <c r="H716" s="59">
        <v>0</v>
      </c>
      <c r="I716" s="60">
        <v>0</v>
      </c>
      <c r="J716" s="59">
        <v>0</v>
      </c>
      <c r="K716" s="61" t="s">
        <v>330</v>
      </c>
      <c r="L716" s="62" t="s">
        <v>330</v>
      </c>
    </row>
    <row r="717" spans="1:12" x14ac:dyDescent="0.25">
      <c r="A717" s="57" t="s">
        <v>410</v>
      </c>
      <c r="B717" s="58" t="s">
        <v>397</v>
      </c>
      <c r="C717" s="58"/>
      <c r="D717" s="58" t="s">
        <v>332</v>
      </c>
      <c r="E717" s="58" t="s">
        <v>409</v>
      </c>
      <c r="F717" s="58" t="s">
        <v>337</v>
      </c>
      <c r="G717" s="58">
        <v>0</v>
      </c>
      <c r="H717" s="59">
        <v>5140855.99</v>
      </c>
      <c r="I717" s="60">
        <v>0</v>
      </c>
      <c r="J717" s="59">
        <v>5140855.99</v>
      </c>
      <c r="K717" s="61" t="s">
        <v>330</v>
      </c>
      <c r="L717" s="62" t="s">
        <v>330</v>
      </c>
    </row>
    <row r="718" spans="1:12" x14ac:dyDescent="0.25">
      <c r="A718" s="57" t="s">
        <v>408</v>
      </c>
      <c r="B718" s="58" t="s">
        <v>397</v>
      </c>
      <c r="C718" s="58" t="s">
        <v>407</v>
      </c>
      <c r="D718" s="58" t="s">
        <v>396</v>
      </c>
      <c r="E718" s="58" t="s">
        <v>406</v>
      </c>
      <c r="F718" s="58" t="s">
        <v>405</v>
      </c>
      <c r="G718" s="58">
        <v>0.47020000000000001</v>
      </c>
      <c r="H718" s="59">
        <v>16192067.74</v>
      </c>
      <c r="I718" s="60">
        <v>7613463.0599999996</v>
      </c>
      <c r="J718" s="59">
        <v>8578604.6799999997</v>
      </c>
      <c r="K718" s="63">
        <v>44895</v>
      </c>
      <c r="L718" s="62" t="s">
        <v>330</v>
      </c>
    </row>
    <row r="719" spans="1:12" x14ac:dyDescent="0.25">
      <c r="A719" s="57" t="s">
        <v>404</v>
      </c>
      <c r="B719" s="58" t="s">
        <v>397</v>
      </c>
      <c r="C719" s="58" t="s">
        <v>403</v>
      </c>
      <c r="D719" s="58" t="s">
        <v>396</v>
      </c>
      <c r="E719" s="58" t="s">
        <v>402</v>
      </c>
      <c r="F719" s="58" t="s">
        <v>401</v>
      </c>
      <c r="G719" s="58">
        <v>0.61680000000000001</v>
      </c>
      <c r="H719" s="59">
        <v>25165350.129999999</v>
      </c>
      <c r="I719" s="60">
        <v>15523214.619999999</v>
      </c>
      <c r="J719" s="59">
        <v>9642135.5099999998</v>
      </c>
      <c r="K719" s="63">
        <v>44847</v>
      </c>
      <c r="L719" s="62" t="s">
        <v>330</v>
      </c>
    </row>
    <row r="720" spans="1:12" x14ac:dyDescent="0.25">
      <c r="A720" s="57" t="s">
        <v>400</v>
      </c>
      <c r="B720" s="58" t="s">
        <v>397</v>
      </c>
      <c r="C720" s="58"/>
      <c r="D720" s="58" t="s">
        <v>339</v>
      </c>
      <c r="E720" s="58" t="s">
        <v>399</v>
      </c>
      <c r="F720" s="58" t="s">
        <v>337</v>
      </c>
      <c r="G720" s="58">
        <v>0</v>
      </c>
      <c r="H720" s="59">
        <v>21037235.48</v>
      </c>
      <c r="I720" s="60">
        <v>0</v>
      </c>
      <c r="J720" s="59">
        <v>21037235.48</v>
      </c>
      <c r="K720" s="61" t="s">
        <v>330</v>
      </c>
      <c r="L720" s="62" t="s">
        <v>330</v>
      </c>
    </row>
    <row r="721" spans="1:12" x14ac:dyDescent="0.25">
      <c r="A721" s="57" t="s">
        <v>398</v>
      </c>
      <c r="B721" s="58" t="s">
        <v>397</v>
      </c>
      <c r="C721" s="58"/>
      <c r="D721" s="58" t="s">
        <v>396</v>
      </c>
      <c r="E721" s="58" t="s">
        <v>395</v>
      </c>
      <c r="F721" s="58" t="s">
        <v>337</v>
      </c>
      <c r="G721" s="58">
        <v>0</v>
      </c>
      <c r="H721" s="59">
        <v>24412930.920000002</v>
      </c>
      <c r="I721" s="60">
        <v>0</v>
      </c>
      <c r="J721" s="59">
        <v>24412930.920000002</v>
      </c>
      <c r="K721" s="61" t="s">
        <v>330</v>
      </c>
      <c r="L721" s="62" t="s">
        <v>330</v>
      </c>
    </row>
    <row r="722" spans="1:12" x14ac:dyDescent="0.25">
      <c r="A722" s="57" t="s">
        <v>224</v>
      </c>
      <c r="B722" s="58" t="s">
        <v>226</v>
      </c>
      <c r="C722" s="58" t="s">
        <v>394</v>
      </c>
      <c r="D722" s="58" t="s">
        <v>355</v>
      </c>
      <c r="E722" s="58" t="s">
        <v>393</v>
      </c>
      <c r="F722" s="58" t="s">
        <v>392</v>
      </c>
      <c r="G722" s="58">
        <v>1</v>
      </c>
      <c r="H722" s="59">
        <v>13792679.789999999</v>
      </c>
      <c r="I722" s="60">
        <v>13792679.789999999</v>
      </c>
      <c r="J722" s="59">
        <v>0</v>
      </c>
      <c r="K722" s="63">
        <v>44767</v>
      </c>
      <c r="L722" s="64">
        <v>45411</v>
      </c>
    </row>
    <row r="723" spans="1:12" x14ac:dyDescent="0.25">
      <c r="A723" s="57" t="s">
        <v>391</v>
      </c>
      <c r="B723" s="58" t="s">
        <v>226</v>
      </c>
      <c r="C723" s="58"/>
      <c r="D723" s="58" t="s">
        <v>332</v>
      </c>
      <c r="E723" s="58" t="s">
        <v>390</v>
      </c>
      <c r="F723" s="58" t="s">
        <v>337</v>
      </c>
      <c r="G723" s="58">
        <v>0</v>
      </c>
      <c r="H723" s="59">
        <v>0</v>
      </c>
      <c r="I723" s="60">
        <v>0</v>
      </c>
      <c r="J723" s="59">
        <v>0</v>
      </c>
      <c r="K723" s="61" t="s">
        <v>330</v>
      </c>
      <c r="L723" s="62" t="s">
        <v>330</v>
      </c>
    </row>
    <row r="724" spans="1:12" x14ac:dyDescent="0.25">
      <c r="A724" s="57" t="s">
        <v>228</v>
      </c>
      <c r="B724" s="58" t="s">
        <v>226</v>
      </c>
      <c r="C724" s="58" t="s">
        <v>389</v>
      </c>
      <c r="D724" s="58" t="s">
        <v>355</v>
      </c>
      <c r="E724" s="58" t="s">
        <v>388</v>
      </c>
      <c r="F724" s="58" t="s">
        <v>387</v>
      </c>
      <c r="G724" s="58">
        <v>0.91220000000000001</v>
      </c>
      <c r="H724" s="59">
        <v>22472818</v>
      </c>
      <c r="I724" s="60">
        <v>20500685.68</v>
      </c>
      <c r="J724" s="59">
        <v>1972132.3200000003</v>
      </c>
      <c r="K724" s="63">
        <v>44827</v>
      </c>
      <c r="L724" s="64">
        <v>45460</v>
      </c>
    </row>
    <row r="725" spans="1:12" x14ac:dyDescent="0.25">
      <c r="A725" s="57" t="s">
        <v>245</v>
      </c>
      <c r="B725" s="58" t="s">
        <v>226</v>
      </c>
      <c r="C725" s="58" t="s">
        <v>386</v>
      </c>
      <c r="D725" s="58" t="s">
        <v>7</v>
      </c>
      <c r="E725" s="58" t="s">
        <v>385</v>
      </c>
      <c r="F725" s="58" t="s">
        <v>246</v>
      </c>
      <c r="G725" s="58">
        <v>0.89959999999999996</v>
      </c>
      <c r="H725" s="59">
        <v>51414775.090000004</v>
      </c>
      <c r="I725" s="60">
        <v>46254135.590000004</v>
      </c>
      <c r="J725" s="59">
        <v>5160639.5</v>
      </c>
      <c r="K725" s="63">
        <v>45566</v>
      </c>
      <c r="L725" s="64">
        <v>46106</v>
      </c>
    </row>
    <row r="726" spans="1:12" x14ac:dyDescent="0.25">
      <c r="A726" s="57" t="s">
        <v>384</v>
      </c>
      <c r="B726" s="58" t="s">
        <v>383</v>
      </c>
      <c r="C726" s="58"/>
      <c r="D726" s="58" t="s">
        <v>367</v>
      </c>
      <c r="E726" s="58" t="s">
        <v>382</v>
      </c>
      <c r="F726" s="58" t="s">
        <v>337</v>
      </c>
      <c r="G726" s="58">
        <v>0</v>
      </c>
      <c r="H726" s="59">
        <v>6991072.1500000004</v>
      </c>
      <c r="I726" s="60">
        <v>0</v>
      </c>
      <c r="J726" s="59">
        <v>6991072.1500000004</v>
      </c>
      <c r="K726" s="61" t="s">
        <v>330</v>
      </c>
      <c r="L726" s="62" t="s">
        <v>330</v>
      </c>
    </row>
    <row r="727" spans="1:12" x14ac:dyDescent="0.25">
      <c r="A727" s="57" t="s">
        <v>381</v>
      </c>
      <c r="B727" s="58" t="s">
        <v>195</v>
      </c>
      <c r="C727" s="58"/>
      <c r="D727" s="58" t="s">
        <v>332</v>
      </c>
      <c r="E727" s="58" t="s">
        <v>380</v>
      </c>
      <c r="F727" s="58" t="s">
        <v>337</v>
      </c>
      <c r="G727" s="58">
        <v>0</v>
      </c>
      <c r="H727" s="59">
        <v>0</v>
      </c>
      <c r="I727" s="60">
        <v>0</v>
      </c>
      <c r="J727" s="59">
        <v>0</v>
      </c>
      <c r="K727" s="61" t="s">
        <v>330</v>
      </c>
      <c r="L727" s="62" t="s">
        <v>330</v>
      </c>
    </row>
    <row r="728" spans="1:12" x14ac:dyDescent="0.25">
      <c r="A728" s="57" t="s">
        <v>379</v>
      </c>
      <c r="B728" s="58" t="s">
        <v>195</v>
      </c>
      <c r="C728" s="58"/>
      <c r="D728" s="58" t="s">
        <v>339</v>
      </c>
      <c r="E728" s="58" t="s">
        <v>378</v>
      </c>
      <c r="F728" s="58" t="s">
        <v>337</v>
      </c>
      <c r="G728" s="58">
        <v>0</v>
      </c>
      <c r="H728" s="59">
        <v>317479.32</v>
      </c>
      <c r="I728" s="60">
        <v>0</v>
      </c>
      <c r="J728" s="59">
        <v>317479.32</v>
      </c>
      <c r="K728" s="61" t="s">
        <v>330</v>
      </c>
      <c r="L728" s="62" t="s">
        <v>330</v>
      </c>
    </row>
    <row r="729" spans="1:12" x14ac:dyDescent="0.25">
      <c r="A729" s="57" t="s">
        <v>377</v>
      </c>
      <c r="B729" s="58" t="s">
        <v>195</v>
      </c>
      <c r="C729" s="58"/>
      <c r="D729" s="58" t="s">
        <v>332</v>
      </c>
      <c r="E729" s="58" t="s">
        <v>376</v>
      </c>
      <c r="F729" s="58" t="s">
        <v>337</v>
      </c>
      <c r="G729" s="58">
        <v>0</v>
      </c>
      <c r="H729" s="59">
        <v>601437.49</v>
      </c>
      <c r="I729" s="60">
        <v>0</v>
      </c>
      <c r="J729" s="59">
        <v>601437.49</v>
      </c>
      <c r="K729" s="61" t="s">
        <v>330</v>
      </c>
      <c r="L729" s="62" t="s">
        <v>330</v>
      </c>
    </row>
    <row r="730" spans="1:12" x14ac:dyDescent="0.25">
      <c r="A730" s="57" t="s">
        <v>375</v>
      </c>
      <c r="B730" s="58" t="s">
        <v>195</v>
      </c>
      <c r="C730" s="58"/>
      <c r="D730" s="58" t="s">
        <v>332</v>
      </c>
      <c r="E730" s="58" t="s">
        <v>374</v>
      </c>
      <c r="F730" s="58" t="s">
        <v>337</v>
      </c>
      <c r="G730" s="58">
        <v>0</v>
      </c>
      <c r="H730" s="59">
        <v>1167656.5900000001</v>
      </c>
      <c r="I730" s="60">
        <v>0</v>
      </c>
      <c r="J730" s="59">
        <v>1167656.5900000001</v>
      </c>
      <c r="K730" s="61" t="s">
        <v>330</v>
      </c>
      <c r="L730" s="62" t="s">
        <v>330</v>
      </c>
    </row>
    <row r="731" spans="1:12" x14ac:dyDescent="0.25">
      <c r="A731" s="57" t="s">
        <v>193</v>
      </c>
      <c r="B731" s="58" t="s">
        <v>195</v>
      </c>
      <c r="C731" s="58" t="s">
        <v>373</v>
      </c>
      <c r="D731" s="58" t="s">
        <v>7</v>
      </c>
      <c r="E731" s="58" t="s">
        <v>372</v>
      </c>
      <c r="F731" s="58" t="s">
        <v>371</v>
      </c>
      <c r="G731" s="58">
        <v>0</v>
      </c>
      <c r="H731" s="59">
        <v>1302281.25</v>
      </c>
      <c r="I731" s="60">
        <v>0</v>
      </c>
      <c r="J731" s="59">
        <v>1302281.25</v>
      </c>
      <c r="K731" s="63">
        <v>46080</v>
      </c>
      <c r="L731" s="64">
        <v>46440</v>
      </c>
    </row>
    <row r="732" spans="1:12" x14ac:dyDescent="0.25">
      <c r="A732" s="57" t="s">
        <v>370</v>
      </c>
      <c r="B732" s="58" t="s">
        <v>195</v>
      </c>
      <c r="C732" s="58"/>
      <c r="D732" s="58" t="s">
        <v>339</v>
      </c>
      <c r="E732" s="58" t="s">
        <v>369</v>
      </c>
      <c r="F732" s="58" t="s">
        <v>337</v>
      </c>
      <c r="G732" s="58">
        <v>0</v>
      </c>
      <c r="H732" s="59">
        <v>2155410.58</v>
      </c>
      <c r="I732" s="60">
        <v>0</v>
      </c>
      <c r="J732" s="59">
        <v>2155410.58</v>
      </c>
      <c r="K732" s="61" t="s">
        <v>330</v>
      </c>
      <c r="L732" s="62" t="s">
        <v>330</v>
      </c>
    </row>
    <row r="733" spans="1:12" x14ac:dyDescent="0.25">
      <c r="A733" s="57" t="s">
        <v>368</v>
      </c>
      <c r="B733" s="58" t="s">
        <v>195</v>
      </c>
      <c r="C733" s="58"/>
      <c r="D733" s="58" t="s">
        <v>367</v>
      </c>
      <c r="E733" s="58" t="s">
        <v>366</v>
      </c>
      <c r="F733" s="58" t="s">
        <v>337</v>
      </c>
      <c r="G733" s="58">
        <v>0</v>
      </c>
      <c r="H733" s="59">
        <v>2979719.18</v>
      </c>
      <c r="I733" s="60">
        <v>0</v>
      </c>
      <c r="J733" s="59">
        <v>2979719.18</v>
      </c>
      <c r="K733" s="61" t="s">
        <v>330</v>
      </c>
      <c r="L733" s="62" t="s">
        <v>330</v>
      </c>
    </row>
    <row r="734" spans="1:12" x14ac:dyDescent="0.25">
      <c r="A734" s="57" t="s">
        <v>365</v>
      </c>
      <c r="B734" s="58" t="s">
        <v>195</v>
      </c>
      <c r="C734" s="58"/>
      <c r="D734" s="58" t="s">
        <v>332</v>
      </c>
      <c r="E734" s="58" t="s">
        <v>364</v>
      </c>
      <c r="F734" s="58" t="s">
        <v>337</v>
      </c>
      <c r="G734" s="58">
        <v>0</v>
      </c>
      <c r="H734" s="59">
        <v>11856755.16</v>
      </c>
      <c r="I734" s="60">
        <v>0</v>
      </c>
      <c r="J734" s="59">
        <v>11856755.16</v>
      </c>
      <c r="K734" s="61" t="s">
        <v>330</v>
      </c>
      <c r="L734" s="62" t="s">
        <v>330</v>
      </c>
    </row>
    <row r="735" spans="1:12" x14ac:dyDescent="0.25">
      <c r="A735" s="57" t="s">
        <v>236</v>
      </c>
      <c r="B735" s="58" t="s">
        <v>218</v>
      </c>
      <c r="C735" s="58" t="s">
        <v>363</v>
      </c>
      <c r="D735" s="58" t="s">
        <v>7</v>
      </c>
      <c r="E735" s="58" t="s">
        <v>362</v>
      </c>
      <c r="F735" s="58" t="s">
        <v>361</v>
      </c>
      <c r="G735" s="58">
        <v>1</v>
      </c>
      <c r="H735" s="59">
        <v>18264452.890000001</v>
      </c>
      <c r="I735" s="60">
        <v>18264452.890000001</v>
      </c>
      <c r="J735" s="59">
        <v>0</v>
      </c>
      <c r="K735" s="63">
        <v>44722</v>
      </c>
      <c r="L735" s="64">
        <v>45723</v>
      </c>
    </row>
    <row r="736" spans="1:12" x14ac:dyDescent="0.25">
      <c r="A736" s="57" t="s">
        <v>360</v>
      </c>
      <c r="B736" s="58" t="s">
        <v>218</v>
      </c>
      <c r="C736" s="58"/>
      <c r="D736" s="58" t="s">
        <v>332</v>
      </c>
      <c r="E736" s="58" t="s">
        <v>359</v>
      </c>
      <c r="F736" s="58" t="s">
        <v>337</v>
      </c>
      <c r="G736" s="58">
        <v>0</v>
      </c>
      <c r="H736" s="59">
        <v>0</v>
      </c>
      <c r="I736" s="60">
        <v>0</v>
      </c>
      <c r="J736" s="59">
        <v>0</v>
      </c>
      <c r="K736" s="61" t="s">
        <v>330</v>
      </c>
      <c r="L736" s="62" t="s">
        <v>330</v>
      </c>
    </row>
    <row r="737" spans="1:12" x14ac:dyDescent="0.25">
      <c r="A737" s="57" t="s">
        <v>358</v>
      </c>
      <c r="B737" s="58" t="s">
        <v>218</v>
      </c>
      <c r="C737" s="58"/>
      <c r="D737" s="58" t="s">
        <v>332</v>
      </c>
      <c r="E737" s="58" t="s">
        <v>357</v>
      </c>
      <c r="F737" s="58" t="s">
        <v>337</v>
      </c>
      <c r="G737" s="58">
        <v>0</v>
      </c>
      <c r="H737" s="59">
        <v>0</v>
      </c>
      <c r="I737" s="60">
        <v>0</v>
      </c>
      <c r="J737" s="59">
        <v>0</v>
      </c>
      <c r="K737" s="61" t="s">
        <v>330</v>
      </c>
      <c r="L737" s="62" t="s">
        <v>330</v>
      </c>
    </row>
    <row r="738" spans="1:12" x14ac:dyDescent="0.25">
      <c r="A738" s="57" t="s">
        <v>247</v>
      </c>
      <c r="B738" s="58" t="s">
        <v>218</v>
      </c>
      <c r="C738" s="58" t="s">
        <v>356</v>
      </c>
      <c r="D738" s="58" t="s">
        <v>355</v>
      </c>
      <c r="E738" s="58" t="s">
        <v>354</v>
      </c>
      <c r="F738" s="58" t="s">
        <v>353</v>
      </c>
      <c r="G738" s="58">
        <v>0.99529999999999996</v>
      </c>
      <c r="H738" s="59">
        <v>30599999.010000002</v>
      </c>
      <c r="I738" s="60">
        <v>30456294.329999998</v>
      </c>
      <c r="J738" s="59">
        <v>143704.68000000343</v>
      </c>
      <c r="K738" s="63">
        <v>45019</v>
      </c>
      <c r="L738" s="64">
        <v>45743</v>
      </c>
    </row>
    <row r="739" spans="1:12" x14ac:dyDescent="0.25">
      <c r="A739" s="57" t="s">
        <v>352</v>
      </c>
      <c r="B739" s="58" t="s">
        <v>218</v>
      </c>
      <c r="C739" s="58"/>
      <c r="D739" s="58" t="s">
        <v>332</v>
      </c>
      <c r="E739" s="58" t="s">
        <v>351</v>
      </c>
      <c r="F739" s="58" t="s">
        <v>337</v>
      </c>
      <c r="G739" s="58">
        <v>0</v>
      </c>
      <c r="H739" s="59">
        <v>900038.32</v>
      </c>
      <c r="I739" s="60">
        <v>0</v>
      </c>
      <c r="J739" s="59">
        <v>900038.32</v>
      </c>
      <c r="K739" s="61" t="s">
        <v>330</v>
      </c>
      <c r="L739" s="62" t="s">
        <v>330</v>
      </c>
    </row>
    <row r="740" spans="1:12" x14ac:dyDescent="0.25">
      <c r="A740" s="57" t="s">
        <v>238</v>
      </c>
      <c r="B740" s="58" t="s">
        <v>218</v>
      </c>
      <c r="C740" s="58" t="s">
        <v>350</v>
      </c>
      <c r="D740" s="58" t="s">
        <v>7</v>
      </c>
      <c r="E740" s="58" t="s">
        <v>349</v>
      </c>
      <c r="F740" s="58" t="s">
        <v>343</v>
      </c>
      <c r="G740" s="58">
        <v>0.96010000000000006</v>
      </c>
      <c r="H740" s="59">
        <v>43796954.979999997</v>
      </c>
      <c r="I740" s="60">
        <v>42048979.520000003</v>
      </c>
      <c r="J740" s="59">
        <v>1747975.4599999934</v>
      </c>
      <c r="K740" s="63">
        <v>44641</v>
      </c>
      <c r="L740" s="64">
        <v>46091</v>
      </c>
    </row>
    <row r="741" spans="1:12" x14ac:dyDescent="0.25">
      <c r="A741" s="57" t="s">
        <v>348</v>
      </c>
      <c r="B741" s="58" t="s">
        <v>218</v>
      </c>
      <c r="C741" s="58"/>
      <c r="D741" s="58" t="s">
        <v>339</v>
      </c>
      <c r="E741" s="58" t="s">
        <v>347</v>
      </c>
      <c r="F741" s="58" t="s">
        <v>346</v>
      </c>
      <c r="G741" s="58">
        <v>0</v>
      </c>
      <c r="H741" s="59">
        <v>6562920.2000000002</v>
      </c>
      <c r="I741" s="60">
        <v>0</v>
      </c>
      <c r="J741" s="59">
        <v>6562920.2000000002</v>
      </c>
      <c r="K741" s="61" t="s">
        <v>330</v>
      </c>
      <c r="L741" s="62" t="s">
        <v>330</v>
      </c>
    </row>
    <row r="742" spans="1:12" x14ac:dyDescent="0.25">
      <c r="A742" s="57" t="s">
        <v>243</v>
      </c>
      <c r="B742" s="58" t="s">
        <v>218</v>
      </c>
      <c r="C742" s="58" t="s">
        <v>345</v>
      </c>
      <c r="D742" s="58" t="s">
        <v>7</v>
      </c>
      <c r="E742" s="58" t="s">
        <v>344</v>
      </c>
      <c r="F742" s="58" t="s">
        <v>343</v>
      </c>
      <c r="G742" s="58">
        <v>0.79559999999999997</v>
      </c>
      <c r="H742" s="59">
        <v>45726170.25</v>
      </c>
      <c r="I742" s="60">
        <v>36377601.259999998</v>
      </c>
      <c r="J742" s="59">
        <v>9348568.9900000021</v>
      </c>
      <c r="K742" s="63">
        <v>44623</v>
      </c>
      <c r="L742" s="64">
        <v>46222</v>
      </c>
    </row>
    <row r="743" spans="1:12" x14ac:dyDescent="0.25">
      <c r="A743" s="57" t="s">
        <v>342</v>
      </c>
      <c r="B743" s="58" t="s">
        <v>218</v>
      </c>
      <c r="C743" s="58"/>
      <c r="D743" s="58" t="s">
        <v>332</v>
      </c>
      <c r="E743" s="58" t="s">
        <v>341</v>
      </c>
      <c r="F743" s="58" t="s">
        <v>337</v>
      </c>
      <c r="G743" s="58">
        <v>0</v>
      </c>
      <c r="H743" s="59">
        <v>21759583.969999999</v>
      </c>
      <c r="I743" s="60">
        <v>0</v>
      </c>
      <c r="J743" s="59">
        <v>21759583.969999999</v>
      </c>
      <c r="K743" s="61" t="s">
        <v>330</v>
      </c>
      <c r="L743" s="62" t="s">
        <v>330</v>
      </c>
    </row>
    <row r="744" spans="1:12" x14ac:dyDescent="0.25">
      <c r="A744" s="57" t="s">
        <v>340</v>
      </c>
      <c r="B744" s="58" t="s">
        <v>218</v>
      </c>
      <c r="C744" s="58"/>
      <c r="D744" s="58" t="s">
        <v>339</v>
      </c>
      <c r="E744" s="58" t="s">
        <v>338</v>
      </c>
      <c r="F744" s="58" t="s">
        <v>337</v>
      </c>
      <c r="G744" s="58">
        <v>0</v>
      </c>
      <c r="H744" s="59">
        <v>28064312.77</v>
      </c>
      <c r="I744" s="60">
        <v>0</v>
      </c>
      <c r="J744" s="59">
        <v>28064312.77</v>
      </c>
      <c r="K744" s="61" t="s">
        <v>330</v>
      </c>
      <c r="L744" s="62" t="s">
        <v>330</v>
      </c>
    </row>
    <row r="745" spans="1:12" x14ac:dyDescent="0.25">
      <c r="A745" s="57" t="s">
        <v>217</v>
      </c>
      <c r="B745" s="58" t="s">
        <v>218</v>
      </c>
      <c r="C745" s="58" t="s">
        <v>336</v>
      </c>
      <c r="D745" s="58" t="s">
        <v>7</v>
      </c>
      <c r="E745" s="58" t="s">
        <v>335</v>
      </c>
      <c r="F745" s="58" t="s">
        <v>334</v>
      </c>
      <c r="G745" s="58">
        <v>0.30670000000000003</v>
      </c>
      <c r="H745" s="59">
        <v>65678550.130000003</v>
      </c>
      <c r="I745" s="60">
        <v>20145177.510000002</v>
      </c>
      <c r="J745" s="59">
        <v>45533372.620000005</v>
      </c>
      <c r="K745" s="63">
        <v>44623</v>
      </c>
      <c r="L745" s="64">
        <v>46170</v>
      </c>
    </row>
    <row r="746" spans="1:12" x14ac:dyDescent="0.25">
      <c r="A746" s="66" t="s">
        <v>333</v>
      </c>
      <c r="B746" s="67" t="s">
        <v>218</v>
      </c>
      <c r="C746" s="67"/>
      <c r="D746" s="67" t="s">
        <v>332</v>
      </c>
      <c r="E746" s="67" t="s">
        <v>331</v>
      </c>
      <c r="F746" s="67"/>
      <c r="G746" s="67">
        <v>0</v>
      </c>
      <c r="H746" s="68">
        <v>76447542.879999995</v>
      </c>
      <c r="I746" s="69">
        <v>0</v>
      </c>
      <c r="J746" s="68">
        <v>76447542.879999995</v>
      </c>
      <c r="K746" s="70" t="s">
        <v>330</v>
      </c>
      <c r="L746" s="71" t="s">
        <v>330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2026-03-06T11:45:12Z</dcterms:created>
  <dcterms:modified xsi:type="dcterms:W3CDTF">2026-03-06T14:00:46Z</dcterms:modified>
</cp:coreProperties>
</file>